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51.xml"/>
  <Override ContentType="application/vnd.openxmlformats-officedocument.drawingml.chart+xml" PartName="/xl/charts/chart16.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3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completar" sheetId="1" r:id="rId5"/>
    <sheet state="visible" name="Resultados" sheetId="2" r:id="rId6"/>
    <sheet state="visible" name="Definición operativa"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tc={2de917a0-2ce2-4ae9-967d-b0e037e94260}</author>
  </authors>
  <commentList>
    <comment authorId="0" xr:uid="{2de917a0-2ce2-4ae9-967d-b0e037e94260}" ref="A114">
      <text>
        <t xml:space="preserve">[Threaded comment]
 Your version of Excel allows you to read this threaded comment; however, any edits to it will get removed if the file is opened in a newer version of Excel. Learn more: https://go.microsoft.com/fwlink/?linkid=870924
Comment:
	Agregar test de fuerza resistencia de sentadilla pistol a cajón con metrónomo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tc={0d9fe5ed-f951-469f-8996-38689aac8211}</author>
    <author>tc={0f92ed41-60b3-44ba-b852-324daaba1f13}</author>
    <author>tc={3d0490cf-af7c-42ef-8143-c288d6581169}</author>
    <author>tc={da6c31de-4d5e-4387-9ff5-6f02e1b51472}</author>
  </authors>
  <commentList>
    <comment authorId="0" xr:uid="{0d9fe5ed-f951-469f-8996-38689aac8211}" ref="B107">
      <text>
        <t xml:space="preserve">[Threaded comment]
 Your version of Excel allows you to read this threaded comment; however, any edits to it will get removed if the file is opened in a newer version of Excel. Learn more: https://go.microsoft.com/fwlink/?linkid=870924
Comment:
	Agregar VAS
</t>
      </text>
    </comment>
    <comment authorId="1" xr:uid="{0f92ed41-60b3-44ba-b852-324daaba1f13}" ref="B107">
      <text>
        <t xml:space="preserve">[Threaded comment]
 Your version of Excel allows you to read this threaded comment; however, any edits to it will get removed if the file is opened in a newer version of Excel. Learn more: https://go.microsoft.com/fwlink/?linkid=870924
Comment:
	Agregar hombro.
</t>
      </text>
    </comment>
    <comment authorId="2" xr:uid="{3d0490cf-af7c-42ef-8143-c288d6581169}" ref="B137">
      <text>
        <t xml:space="preserve">[Threaded comment]
 Your version of Excel allows you to read this threaded comment; however, any edits to it will get removed if the file is opened in a newer version of Excel. Learn more: https://go.microsoft.com/fwlink/?linkid=870924
Comment:
	Agregar flexores de cadera
</t>
      </text>
    </comment>
    <comment authorId="3" xr:uid="{da6c31de-4d5e-4387-9ff5-6f02e1b51472}" ref="B127">
      <text>
        <t xml:space="preserve">[Threaded comment]
 Your version of Excel allows you to read this threaded comment; however, any edits to it will get removed if the file is opened in a newer version of Excel. Learn more: https://go.microsoft.com/fwlink/?linkid=870924
Comment:
	Agregar VAS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tc={ef54f824-ac94-4767-9498-e5cd69030bde}</author>
  </authors>
  <commentList>
    <comment authorId="0" xr:uid="{ef54f824-ac94-4767-9498-e5cd69030bde}" ref="A18">
      <text>
        <t xml:space="preserve">[Threaded comment]
 Your version of Excel allows you to read this threaded comment; however, any edits to it will get removed if the file is opened in a newer version of Excel. Learn more: https://go.microsoft.com/fwlink/?linkid=870924
Comment:
	@pcostamagna@ugr.edu.ar
</t>
      </text>
    </comment>
  </commentList>
</comments>
</file>

<file path=xl/sharedStrings.xml><?xml version="1.0" encoding="utf-8"?>
<sst xmlns="http://schemas.openxmlformats.org/spreadsheetml/2006/main" count="1071" uniqueCount="435">
  <si>
    <t>Variables</t>
  </si>
  <si>
    <t>Datos</t>
  </si>
  <si>
    <t>Nombre y Apellido</t>
  </si>
  <si>
    <t>Fecha</t>
  </si>
  <si>
    <t>Entrenamiento previo a la sesión</t>
  </si>
  <si>
    <t xml:space="preserve">Edad </t>
  </si>
  <si>
    <t>Altura en cm</t>
  </si>
  <si>
    <t>Peso en kg</t>
  </si>
  <si>
    <t>Pierna dominante</t>
  </si>
  <si>
    <t>Pierna lesionada</t>
  </si>
  <si>
    <t>Tipo de lesión</t>
  </si>
  <si>
    <t>Comentarios de la lesión</t>
  </si>
  <si>
    <t>Completar con: tipo de lesión, fecha de lesión, fecha de cirugía, tipo de injerto, lesión asociada, mecanismo de lesión</t>
  </si>
  <si>
    <t>Antecedentes</t>
  </si>
  <si>
    <t>Médico derivante</t>
  </si>
  <si>
    <t>Dolor durante la evaluación</t>
  </si>
  <si>
    <t>Rotación interna de cadera 90º</t>
  </si>
  <si>
    <t>Derecha</t>
  </si>
  <si>
    <t>Izquierda</t>
  </si>
  <si>
    <t>Rotación externa de cadera 90º</t>
  </si>
  <si>
    <t>Extensión pasiva de rodilla</t>
  </si>
  <si>
    <t>Flexión activa de rodilla</t>
  </si>
  <si>
    <t>Flexión pasiva de rodilla</t>
  </si>
  <si>
    <t>Flexión dorsal de tobillo</t>
  </si>
  <si>
    <t>Rotación interna de hombro</t>
  </si>
  <si>
    <t>Derecho</t>
  </si>
  <si>
    <t>Izquierdo</t>
  </si>
  <si>
    <t>Rotación externa de hombro</t>
  </si>
  <si>
    <t>Perímetro de muslo</t>
  </si>
  <si>
    <t>Perímetro de pantorrilla</t>
  </si>
  <si>
    <t>Thomas derecha</t>
  </si>
  <si>
    <t>Psoas Iíaco</t>
  </si>
  <si>
    <t>Recto Anterior</t>
  </si>
  <si>
    <t>Sartorio</t>
  </si>
  <si>
    <t>Thomas izquierda</t>
  </si>
  <si>
    <t>AKE</t>
  </si>
  <si>
    <t>Askling test</t>
  </si>
  <si>
    <t>Slump test</t>
  </si>
  <si>
    <t>BKFO test</t>
  </si>
  <si>
    <t>Psoas derecha</t>
  </si>
  <si>
    <t>Palpación</t>
  </si>
  <si>
    <t xml:space="preserve">Contracción </t>
  </si>
  <si>
    <t>Estiramiento</t>
  </si>
  <si>
    <t>Psoas izquierda</t>
  </si>
  <si>
    <t>Pubis derecha</t>
  </si>
  <si>
    <t>Pubis izquierda</t>
  </si>
  <si>
    <t>Abdominales derecha</t>
  </si>
  <si>
    <t>Abdominales izquierda</t>
  </si>
  <si>
    <t>Aductor derecha</t>
  </si>
  <si>
    <t>Aductor izquierda</t>
  </si>
  <si>
    <t>Glúteo medio derecha</t>
  </si>
  <si>
    <t>Glúteo medio izquierda</t>
  </si>
  <si>
    <t>Cuadrado lumbar derecha</t>
  </si>
  <si>
    <t>Cuadrado lumbar izquierda</t>
  </si>
  <si>
    <t xml:space="preserve">Cadera: impingement </t>
  </si>
  <si>
    <t xml:space="preserve">Cadera: labrum anterior </t>
  </si>
  <si>
    <t>Columna: flexión</t>
  </si>
  <si>
    <t>-</t>
  </si>
  <si>
    <t>Columna: extensión</t>
  </si>
  <si>
    <t>Columna: inclinación derecha</t>
  </si>
  <si>
    <t>Columna: inclinación izquierda</t>
  </si>
  <si>
    <t>Sacroilíaca</t>
  </si>
  <si>
    <t>Largo en cm del miembro inferior</t>
  </si>
  <si>
    <t>Y Balance derecha</t>
  </si>
  <si>
    <t>Anterior</t>
  </si>
  <si>
    <t>Posteromedial</t>
  </si>
  <si>
    <t>Posterolateral</t>
  </si>
  <si>
    <t>Y Balance izquierda</t>
  </si>
  <si>
    <t>Prueba de balance: derecha</t>
  </si>
  <si>
    <t>Ojos abiertos</t>
  </si>
  <si>
    <t>Ojos cerrados</t>
  </si>
  <si>
    <t>Prueba de balance: izquierda</t>
  </si>
  <si>
    <t>Prueba de balance vestibular: derecha</t>
  </si>
  <si>
    <t>Lado a lado</t>
  </si>
  <si>
    <t>Arriba y abajo</t>
  </si>
  <si>
    <t>Prueba de balance vestibular: izquierda</t>
  </si>
  <si>
    <t>Mc Gill</t>
  </si>
  <si>
    <t>Flexores</t>
  </si>
  <si>
    <t>Extensores</t>
  </si>
  <si>
    <t>Puente glúteo a 1p</t>
  </si>
  <si>
    <t>Puente glúteo a 1p VAS</t>
  </si>
  <si>
    <t>Elevación gemelo a 1p</t>
  </si>
  <si>
    <t>Elevación gemelo a 1p VAS</t>
  </si>
  <si>
    <t>Sentadilla a 1p</t>
  </si>
  <si>
    <t>Sentadilla a 1p VAS</t>
  </si>
  <si>
    <t>Press de hombro</t>
  </si>
  <si>
    <t>Press de hombro VAS</t>
  </si>
  <si>
    <t>Press de banca</t>
  </si>
  <si>
    <t>Reps</t>
  </si>
  <si>
    <t>VAS</t>
  </si>
  <si>
    <t>Dominadas</t>
  </si>
  <si>
    <t>Fuerza muscular: flexores cadera 0-0º</t>
  </si>
  <si>
    <t>VAS flexores cadera 0-0º</t>
  </si>
  <si>
    <t>Fuerza muscular: flexores cadera 0-90º</t>
  </si>
  <si>
    <t>VAS flexores cadera 0-90º</t>
  </si>
  <si>
    <t>Squezze Test</t>
  </si>
  <si>
    <t>VAS Squezze</t>
  </si>
  <si>
    <t>Fuerza muscular: aductores</t>
  </si>
  <si>
    <t>VAS aductores</t>
  </si>
  <si>
    <t>Fuerza muscular: abductores</t>
  </si>
  <si>
    <t>VAS abductores</t>
  </si>
  <si>
    <t>Fuerza muscular: cuádriceps</t>
  </si>
  <si>
    <t>VAS cuádriceps</t>
  </si>
  <si>
    <t>Fuerza muscular: isquiosurales</t>
  </si>
  <si>
    <t>VAS isquiotibiales</t>
  </si>
  <si>
    <t>Fuerza muscular: tríceps sural</t>
  </si>
  <si>
    <t>VAS tríceps sural</t>
  </si>
  <si>
    <t>Fuerza muscular: abductores tobillo</t>
  </si>
  <si>
    <t>VAS abductores tobillo</t>
  </si>
  <si>
    <t>Fuerza muscular: aductores tobillo</t>
  </si>
  <si>
    <t>VAS aductores tobillo</t>
  </si>
  <si>
    <t>IMTP</t>
  </si>
  <si>
    <t>Fuerza pico</t>
  </si>
  <si>
    <t>Fuerza derecha</t>
  </si>
  <si>
    <t>Fuerza izquierda</t>
  </si>
  <si>
    <t>Fuerza muscular: rotación interna hombro</t>
  </si>
  <si>
    <t>VAS RI hombro</t>
  </si>
  <si>
    <t>Fuerza muscular: rotación externa hombro</t>
  </si>
  <si>
    <t>VAS RE hombro</t>
  </si>
  <si>
    <t>Ash I</t>
  </si>
  <si>
    <t>VAS Ash I</t>
  </si>
  <si>
    <t>Ash Y</t>
  </si>
  <si>
    <t>VAS Ash Y</t>
  </si>
  <si>
    <t>Ash T</t>
  </si>
  <si>
    <t>VAS Ash T</t>
  </si>
  <si>
    <t>Handrip</t>
  </si>
  <si>
    <t>Cuádriceps derecho</t>
  </si>
  <si>
    <t>Evaluación 1</t>
  </si>
  <si>
    <t>Completar en columna A con musculatura y lado a evaluar: ejemplo, Cuádriceps pierna derecha</t>
  </si>
  <si>
    <t>Evaluación 2</t>
  </si>
  <si>
    <t>Cuádriceps izquierdo</t>
  </si>
  <si>
    <t>Completar en columna A con musculatura y lado a evaluar: ejemplo, Cuádriceps pierna izquierda</t>
  </si>
  <si>
    <t>Isquiotibiales derecho</t>
  </si>
  <si>
    <t>Isquiotibiales izquierdo</t>
  </si>
  <si>
    <t>VBT Sentadilla</t>
  </si>
  <si>
    <t>Peso utilizado sentadilla</t>
  </si>
  <si>
    <t>VBT Peso muerto</t>
  </si>
  <si>
    <t>Peso utilizado peso muerto</t>
  </si>
  <si>
    <t>VBT Puente glúteo</t>
  </si>
  <si>
    <t>Peso utilizado puente glúteo</t>
  </si>
  <si>
    <t>VBT Sentadilla búlgara</t>
  </si>
  <si>
    <t>Peso utilizado sentadilla búlgara</t>
  </si>
  <si>
    <t>CMJ 2 p</t>
  </si>
  <si>
    <t>Altura del salto</t>
  </si>
  <si>
    <t>CMJ 2 p: frenado</t>
  </si>
  <si>
    <t>CMJ 2 p: propulsión</t>
  </si>
  <si>
    <t>CMJ 2 p: aterrizaje</t>
  </si>
  <si>
    <t>CMJ 2 p: RSI</t>
  </si>
  <si>
    <t>CMJ 1 p: altura del salto</t>
  </si>
  <si>
    <t>CMJ 1 p: frenado</t>
  </si>
  <si>
    <t>CMJ 1 p: propulsión</t>
  </si>
  <si>
    <t>CMJ 1 p: aterrizaje</t>
  </si>
  <si>
    <t>CMJ 1 p: RSI</t>
  </si>
  <si>
    <t>DJ a 2 p altura del salto</t>
  </si>
  <si>
    <t>DJ a 2 p: fuerza pico</t>
  </si>
  <si>
    <t>DJ a 2 p RSI</t>
  </si>
  <si>
    <t>DJ a 1 p altura del salto</t>
  </si>
  <si>
    <t>DJ a 1 p: tiempo de contacto</t>
  </si>
  <si>
    <t>DJ a 1 p: RSI</t>
  </si>
  <si>
    <t>Single Hop Test</t>
  </si>
  <si>
    <t>Triple Hop Test: distancia cm</t>
  </si>
  <si>
    <t>Triple Hop Test: tiempo de contacto</t>
  </si>
  <si>
    <t>Crossover Hop Test: distancia cm</t>
  </si>
  <si>
    <t>Crossover Hop Test: tiempo de contacto</t>
  </si>
  <si>
    <t>Medial Side Triple Hop Test: distancia cm</t>
  </si>
  <si>
    <t>90 Medial Rotation Hop Test: distancia cm</t>
  </si>
  <si>
    <t>Side Hop Test</t>
  </si>
  <si>
    <t>Sentadilla a 1 pierna: vista frontal derecha</t>
  </si>
  <si>
    <t>Déficit de tronco</t>
  </si>
  <si>
    <t>Déficit de pelvis</t>
  </si>
  <si>
    <t>Déficit de cadera</t>
  </si>
  <si>
    <t>Déficit de rodilla</t>
  </si>
  <si>
    <t>Sentadilla a 1 pierna: vista frontal izquierda</t>
  </si>
  <si>
    <t>Sentadilla a 1 pierna: vista sagital</t>
  </si>
  <si>
    <t>Sentadilla bipodal</t>
  </si>
  <si>
    <t>Ver como se utiliza la plataforma de fuerza</t>
  </si>
  <si>
    <t>Bisagra de cadera</t>
  </si>
  <si>
    <t>Estocada - FMS</t>
  </si>
  <si>
    <t>Paso de valla - FMS</t>
  </si>
  <si>
    <t xml:space="preserve">Prueba de Frenado </t>
  </si>
  <si>
    <t>T Test</t>
  </si>
  <si>
    <t>Edgren Side Step Test</t>
  </si>
  <si>
    <t>CMAS 45º</t>
  </si>
  <si>
    <t>CMAS 90º</t>
  </si>
  <si>
    <t>Cuestionarios autoinformados</t>
  </si>
  <si>
    <t>IKDC</t>
  </si>
  <si>
    <t>LCA RSI</t>
  </si>
  <si>
    <t>HAGOS</t>
  </si>
  <si>
    <t>PACIENTE</t>
  </si>
  <si>
    <t>FECHA</t>
  </si>
  <si>
    <t>ENTRENAMIENTO PREVIO A LA SESIÓN</t>
  </si>
  <si>
    <t>EDAD</t>
  </si>
  <si>
    <t>ALTURA EN CM</t>
  </si>
  <si>
    <t>PESO EN KG</t>
  </si>
  <si>
    <t>PIERNA DOMINANTE</t>
  </si>
  <si>
    <t>PIERNA LESIONADA</t>
  </si>
  <si>
    <t>TIPO DE LESIÓN</t>
  </si>
  <si>
    <t>ANTECEDENTES</t>
  </si>
  <si>
    <t>MÉDICO DERIVANTE</t>
  </si>
  <si>
    <t>DOLOR DURANTE LA EVALUACIÓN</t>
  </si>
  <si>
    <t>No</t>
  </si>
  <si>
    <t>RANGO DE MOVILIDAD ARTICULAR - CADERA</t>
  </si>
  <si>
    <t>TEST - INSTRUMENTO</t>
  </si>
  <si>
    <t>MOVIMIENTO</t>
  </si>
  <si>
    <t>DERECHA</t>
  </si>
  <si>
    <t>IZQUIERDA</t>
  </si>
  <si>
    <t>REFERENCIA</t>
  </si>
  <si>
    <t>Rotación de cadera - Inclinómetro (º)</t>
  </si>
  <si>
    <t>Rotación interna (°)</t>
  </si>
  <si>
    <t>Rotación externa (°)</t>
  </si>
  <si>
    <t>Rotación total (°)</t>
  </si>
  <si>
    <t>85º</t>
  </si>
  <si>
    <t>COMENTARIOS</t>
  </si>
  <si>
    <t>RANGO DE MOVILIDAD ARTICULAR - RODILLA</t>
  </si>
  <si>
    <t>Extensión de rodilla - Inclinómetro (º)</t>
  </si>
  <si>
    <t>Exensión pasiva de rodilla</t>
  </si>
  <si>
    <t>0º</t>
  </si>
  <si>
    <t>DÉFICIT</t>
  </si>
  <si>
    <t>Flexión rodilla - Inclinómetro (º)</t>
  </si>
  <si>
    <t>0º-10º</t>
  </si>
  <si>
    <t>RANGO DE MOVILIDAD ARTICULAR - TOBILLO</t>
  </si>
  <si>
    <t>Lunge Test - Inclinómetro (º)</t>
  </si>
  <si>
    <t>39º</t>
  </si>
  <si>
    <t>RANGO DE MOVILIDAD ARTICULAR - HOMBRO</t>
  </si>
  <si>
    <t>Rotación de hombro - Inclinómetro (º)</t>
  </si>
  <si>
    <t>18º</t>
  </si>
  <si>
    <t>5º</t>
  </si>
  <si>
    <t>PERÍMETROS MUSCULARES</t>
  </si>
  <si>
    <t>PERÍMETRO MUSCULAR</t>
  </si>
  <si>
    <t>Muslo</t>
  </si>
  <si>
    <t>Pantorilla</t>
  </si>
  <si>
    <t>FLEXIBILIDAD</t>
  </si>
  <si>
    <t>EVALUACIÓN</t>
  </si>
  <si>
    <t>PIERNA</t>
  </si>
  <si>
    <t>PSOAS ILÍACO</t>
  </si>
  <si>
    <t>RECTO ANTERIOR</t>
  </si>
  <si>
    <t>SARTORIO</t>
  </si>
  <si>
    <t>Flexores de cadera</t>
  </si>
  <si>
    <t>Test de Thomas modificado</t>
  </si>
  <si>
    <t>Isquiotibiales</t>
  </si>
  <si>
    <t>Test de AKE (°)</t>
  </si>
  <si>
    <t>70º</t>
  </si>
  <si>
    <t>Sin dolor e inseguridad</t>
  </si>
  <si>
    <t>Sin tensión neural</t>
  </si>
  <si>
    <t>Aductores</t>
  </si>
  <si>
    <t>BKFO (cm)</t>
  </si>
  <si>
    <t>8,6 - 17,4 cm</t>
  </si>
  <si>
    <t>DOLOR INGUINAL EN ATLETAS</t>
  </si>
  <si>
    <t>Prueba</t>
  </si>
  <si>
    <t>Psoas</t>
  </si>
  <si>
    <t>Pubis</t>
  </si>
  <si>
    <t>Abdominales</t>
  </si>
  <si>
    <t>Aductor</t>
  </si>
  <si>
    <t>Glúteo medio</t>
  </si>
  <si>
    <t>Cuadrado lumbar</t>
  </si>
  <si>
    <t>Test</t>
  </si>
  <si>
    <t>Flexión</t>
  </si>
  <si>
    <t>Extensión</t>
  </si>
  <si>
    <t>Inclinación derecha</t>
  </si>
  <si>
    <t>Inclinación izquierda</t>
  </si>
  <si>
    <t>Cadera impingement</t>
  </si>
  <si>
    <t>Cadera labrum anterior</t>
  </si>
  <si>
    <t>Columna</t>
  </si>
  <si>
    <t>ESTABILIDAD - EQUILIBRIO</t>
  </si>
  <si>
    <t>ALCANCES</t>
  </si>
  <si>
    <t>DIFERENCIA</t>
  </si>
  <si>
    <t>Y Balance Test</t>
  </si>
  <si>
    <t>Anterior (cm)</t>
  </si>
  <si>
    <t>4 cm</t>
  </si>
  <si>
    <t>Postero-medial (cm)</t>
  </si>
  <si>
    <t>Postero-lateral (cm)</t>
  </si>
  <si>
    <t>Composite (%)</t>
  </si>
  <si>
    <t>&gt;94%</t>
  </si>
  <si>
    <t>Prueba de balance a una pierna</t>
  </si>
  <si>
    <t>45"</t>
  </si>
  <si>
    <t>9"</t>
  </si>
  <si>
    <t>Prueba de balance vestibular</t>
  </si>
  <si>
    <t>FUERZA RESISTENCIA MIEMBRO INFERIOR</t>
  </si>
  <si>
    <t>TEST</t>
  </si>
  <si>
    <t>SIMETRÍA</t>
  </si>
  <si>
    <t xml:space="preserve">Mc Gill </t>
  </si>
  <si>
    <t>Inclinadores de tronco</t>
  </si>
  <si>
    <t>85"</t>
  </si>
  <si>
    <t>Flexores de tronco</t>
  </si>
  <si>
    <t>130"</t>
  </si>
  <si>
    <t>Extensores de tronco</t>
  </si>
  <si>
    <t>170"</t>
  </si>
  <si>
    <t>Relación flexores / extensores</t>
  </si>
  <si>
    <t>Glúteo</t>
  </si>
  <si>
    <t>Puente glúteo a 1 pierna (reps)</t>
  </si>
  <si>
    <t>Dolor VAS</t>
  </si>
  <si>
    <t>Gemelos</t>
  </si>
  <si>
    <t>Elevaciones a 1 pierna (reps)</t>
  </si>
  <si>
    <t>Cuádriceps</t>
  </si>
  <si>
    <t>Sentadilla a 1 pierna (reps)</t>
  </si>
  <si>
    <t>FUERZA RESISTENCIA MIEMBRO SUPERIOR</t>
  </si>
  <si>
    <t>Empuje</t>
  </si>
  <si>
    <t>Dolor VAS press de hombro</t>
  </si>
  <si>
    <t>Dolor VAS press de banca</t>
  </si>
  <si>
    <t>Tracción</t>
  </si>
  <si>
    <t>Dolor VAS dominadas</t>
  </si>
  <si>
    <t>FUERZA ISOMÉTRICA - CADERA</t>
  </si>
  <si>
    <t>Evaluación</t>
  </si>
  <si>
    <t>FUERZA RELATIVA DERECHA</t>
  </si>
  <si>
    <t>FUERZA RELATIVA IZQUIERDA</t>
  </si>
  <si>
    <t>Flexores de cadera 0-0º</t>
  </si>
  <si>
    <t>-%</t>
  </si>
  <si>
    <t>Dolor VAS flexores de cadera 0-0º</t>
  </si>
  <si>
    <t>Flexores de cadera 0-90º</t>
  </si>
  <si>
    <t>Dolor VAS flexores de cadera 0-90º</t>
  </si>
  <si>
    <t>Dolor VAS Squezze</t>
  </si>
  <si>
    <t>Aductores (N)</t>
  </si>
  <si>
    <t>Dolor VAS Aductores</t>
  </si>
  <si>
    <t>Abductores (N)</t>
  </si>
  <si>
    <t>Dolor VAS Abductores</t>
  </si>
  <si>
    <t>Relación aductores - abductores</t>
  </si>
  <si>
    <t>FUERZA ISOMÉTRICA - RODILLA</t>
  </si>
  <si>
    <t>MUSCULATURA</t>
  </si>
  <si>
    <t>Cuádriceps (N)</t>
  </si>
  <si>
    <t>Dolor VAS Cuádriceps</t>
  </si>
  <si>
    <t>Isquiotibiales (N)</t>
  </si>
  <si>
    <t>Dolor VAS Isquiotibiales</t>
  </si>
  <si>
    <t>Relación Isquiotibiales - Cuádriceps</t>
  </si>
  <si>
    <t>FUERZA ISOMÉTRICA - TOBILLO</t>
  </si>
  <si>
    <t>Tríceps sural (N)</t>
  </si>
  <si>
    <t>Dolor VAS Tríceps sural</t>
  </si>
  <si>
    <t>Abductores (Kgf)</t>
  </si>
  <si>
    <t>Aductores (Kgf)</t>
  </si>
  <si>
    <t>Relación abducción - aducción (Kgf)</t>
  </si>
  <si>
    <t>FUERZA ISOMÉTRICA GENERAL MIEMBRO INFERIOR</t>
  </si>
  <si>
    <t>VARIABLE</t>
  </si>
  <si>
    <t>Fuerza pico (N)</t>
  </si>
  <si>
    <t>Fuerza pico relativa (N/Kg)</t>
  </si>
  <si>
    <t>Fuerza pico unilateral (N)</t>
  </si>
  <si>
    <t>FUERZA ISOMÉTRICA - HOMBRO</t>
  </si>
  <si>
    <t>Rotadores internos (N)</t>
  </si>
  <si>
    <t>Dolor VAS rotadores internos</t>
  </si>
  <si>
    <t>Rotadores externos (N)</t>
  </si>
  <si>
    <t>Dolor VAS rotadores externos</t>
  </si>
  <si>
    <t>Relación RI - RE</t>
  </si>
  <si>
    <t>Ash Test I (N)</t>
  </si>
  <si>
    <t>Dolor VAS Ash Test I</t>
  </si>
  <si>
    <t>Ash Test Y (N)</t>
  </si>
  <si>
    <t>Dolor VAS Ash Test Y</t>
  </si>
  <si>
    <t>Ash Test T (N)</t>
  </si>
  <si>
    <t>Dolor VAS Ash Test T</t>
  </si>
  <si>
    <t>FUERZA ISOMÉTRICA GENERAL MIEMBRO SUPERIOR</t>
  </si>
  <si>
    <t>FUERZA ISOMÉTRICA - EVALUACIÓN 1 VS 2</t>
  </si>
  <si>
    <t>EVALUACIÓN 1</t>
  </si>
  <si>
    <t>EVALUACIÓN 2</t>
  </si>
  <si>
    <t>MEJORA %</t>
  </si>
  <si>
    <t>ENCODER - VBT</t>
  </si>
  <si>
    <t>EJERCICIO</t>
  </si>
  <si>
    <t>PESO UTILIZADO</t>
  </si>
  <si>
    <t>Velocidad media propulsiva</t>
  </si>
  <si>
    <t>Sentadilla monopodal</t>
  </si>
  <si>
    <t>Peso muerto monopodal</t>
  </si>
  <si>
    <t>Puente glúteo monopodal</t>
  </si>
  <si>
    <t>Sentadilla búlgara</t>
  </si>
  <si>
    <t>SALTOS VERTICALES</t>
  </si>
  <si>
    <t>CMJ a 2 piernas</t>
  </si>
  <si>
    <t>Altura del salto (cm)</t>
  </si>
  <si>
    <t>Fuerza frenado (N)</t>
  </si>
  <si>
    <t>Fuerza propulsiva (N)</t>
  </si>
  <si>
    <t>Fuerza aterrizaje (N)</t>
  </si>
  <si>
    <t>RSI</t>
  </si>
  <si>
    <t>CMJ a 1 pierna</t>
  </si>
  <si>
    <t>Drop Jump a 2 piernas</t>
  </si>
  <si>
    <t>Fuerza pico contacto</t>
  </si>
  <si>
    <t>Drop Jump a 1 pierna</t>
  </si>
  <si>
    <t>Tiempo de contacto (ms)</t>
  </si>
  <si>
    <t>SALTOS HORIZONTALES</t>
  </si>
  <si>
    <t>Distancia (cm)</t>
  </si>
  <si>
    <t>Triple Hop Test</t>
  </si>
  <si>
    <t>Crossover Hop Test</t>
  </si>
  <si>
    <t>Medial Side Triple Hop Test</t>
  </si>
  <si>
    <t>90 Medial Rotation Hop Test</t>
  </si>
  <si>
    <t>Cantidad de saltos</t>
  </si>
  <si>
    <t>CALIDAD DE MOVIMIENTO - CONTROL MOTOR</t>
  </si>
  <si>
    <t>DÉFICIT DE TRONCO</t>
  </si>
  <si>
    <t>DÉFICIT DE PELVIS</t>
  </si>
  <si>
    <t>DÉFICIT DE CADERA</t>
  </si>
  <si>
    <t>DÉFICIT DE RODILLA</t>
  </si>
  <si>
    <t>Sentadilla a 1 pierna: vista frontal</t>
  </si>
  <si>
    <t>EVALUACIONES DE CAMPO</t>
  </si>
  <si>
    <t>Prueba de frenado</t>
  </si>
  <si>
    <t>OK</t>
  </si>
  <si>
    <t>T Test (seg)</t>
  </si>
  <si>
    <t>&lt; 9,5 seg</t>
  </si>
  <si>
    <t>Edgren Side Step Test (reps)</t>
  </si>
  <si>
    <t>CUESTIONARIOS AUTOINFORMADOS</t>
  </si>
  <si>
    <t>CUESTIONARIO</t>
  </si>
  <si>
    <t>PUNTAJE</t>
  </si>
  <si>
    <t>&gt;80</t>
  </si>
  <si>
    <t>&gt;85</t>
  </si>
  <si>
    <t>&gt;76</t>
  </si>
  <si>
    <t xml:space="preserve">Todos los ejercicios incorporados al plan de entrenamiento atendiendo a las recomendaciones sugeridas en los resultados de esta evaluación deberán ser ejecutados sin síntomas de dolor (EVA &lt;3) posterior al ejercicio y/o la mañana siguiente. 
Cualquier duda con las recomendaciones contactarse con 3492604485.
</t>
  </si>
  <si>
    <t>RANGO DE MOVILIDAD ARTICULAR Y FLEXIBLIDAD</t>
  </si>
  <si>
    <t>ESTABILIDAD</t>
  </si>
  <si>
    <t>FUERZA GENERAL MIEMBRO INFERIOR</t>
  </si>
  <si>
    <t>FUERZA GENERAL MIEMBRO SUPERIOR</t>
  </si>
  <si>
    <t>SALTABILIDAD VERTICAL</t>
  </si>
  <si>
    <t>SALTABILIDAD HORIZONTAL</t>
  </si>
  <si>
    <t>CONTROL MOTOR</t>
  </si>
  <si>
    <t>3 minutos en cinta caminata, rodilla al pecho en caminata, elongacion de cuadriceps en caminata, rodillas al pecho, talones a la cola, todos ida y vuelta del espacio verde</t>
  </si>
  <si>
    <t xml:space="preserve">PASIVO. </t>
  </si>
  <si>
    <t>Inclinómetro (regla L), buscar superficie dura</t>
  </si>
  <si>
    <t>Decúbito prono, inclinómetro en la tibia, sin entrada en calor</t>
  </si>
  <si>
    <t>Inclínometro borde anterior de tibia, moverlo 3 veces antes, no puede levantar talón, una sola medición, sin apoyar rodilla contraria en el suelo</t>
  </si>
  <si>
    <t>Fijación a la antepulsión con mano del evaluador, inclinómetro parte dorsal del antebrazo, decúbito supino completamente</t>
  </si>
  <si>
    <t>Peímetro de músculo y de gemelo</t>
  </si>
  <si>
    <t>Muslo medio: parado sobre banco, punto medio entre EIAS y borde superior de rótula</t>
  </si>
  <si>
    <t>Pantorilla: pierna sobre banco, medición de mayor pliegue ubicado de forma lateral</t>
  </si>
  <si>
    <t>Decúbito supino, planta con planta, distancia de la cabeza de peroné a la camilla en cm</t>
  </si>
  <si>
    <t>Los sujetos se colocan de pie sobre una sola pierna, con un leve grado de flexión en la cadera, la rodilla y el tobillo, y con las manos apoyadas en la cintura. A una frecuencia de 60 pulsaciones por minuto, los sujetos giran repetidamente la cabeza de un lado al otro (entre 70 y 90 grados) durante un período de 15 segundos.
La visión debe estar alineada con la posición de la cabeza (sin fijación visual).</t>
  </si>
  <si>
    <t>Los sujetos se colocan de pie sobre una sola pierna, con un leve grado de flexión en la cadera, la rodilla y el tobillo, y con las manos apoyadas en la cintura. A una frecuencia de 60 pulsaciones por minuto, los sujetos inclinan repetidamente la cabeza hacia arriba y hacia abajo (mirando del piso al techo) durante un período de 15 segundos.
La visión debe estar alineada con la posición de la cabeza (sin fijación visual).
La prueba se considera aprobada si los sujetos pueden mantener la postura en apoyo unipodal y no retiran las manos de la cintura en ambas evaluaciones.</t>
  </si>
  <si>
    <t>con valla abajo del cuerpo, flexores a 45°, si toca atrás corta, o si toca la valla de costado</t>
  </si>
  <si>
    <t>Cajón de 60 cm, flexión de rodilla de 20º, brazos en pecho, apoyo de talón, llevar a extensión de cadera de 0º</t>
  </si>
  <si>
    <t>Sobre pesa de 15kg, cabeza metatarsianos</t>
  </si>
  <si>
    <t>Ajustá la altura del cajón para que, al sentarse, el sujeto quede con aproximadamente 60° de flexión de rodilla y 70–80° de flexión de cadera, con el talón apoyado y la tibia levemente inclinada hacia adelante. Debe sentarse con los isquiones a 5–8 cm del borde anterior del cajón. El pie del lado a evaluar se coloca a la distancia necesaria (habitualmente 10–15 cm del cajón) para mantener esa posición, con la rodilla alineada al segundo dedo. Los brazos van cruzados en el pecho y el tronco puede inclinarse hacia adelante de forma natural. Desde sentado, debe ponerse de pie completamente y volver a sentarse de manera controlada, sin rebotes, sin tocar el cajón con la otra pierna y sin despegar el talón. El movimiento se realiza con metrónomo a 60 bpm, subiendo en 2 segundos y bajando en 2 segundos, sin pausas. El test continúa hasta que aparece un fallo técnico: pérdida repetida de la alineación de rodilla, uso de impulso del tronco, talón que se despega, falta de extensión completa o pérdida de control en el descenso. Se registran la altura del cajón, las posiciones y la cantidad de repeticiones correctas.</t>
  </si>
  <si>
    <t>ver</t>
  </si>
  <si>
    <t>Cajón decúbito supino, piernas apoyadas en suelo, mancuerna, bajar hasta valla</t>
  </si>
  <si>
    <t>pasar el mentón sin balanceo</t>
  </si>
  <si>
    <t>cadena gancho suelo</t>
  </si>
  <si>
    <t>Palanca corta para fuerza, decúbito supino, cadera 45°, rodilla 90°. Para hacer palanca larga  ya tenemos el unilateral, pero nos interesa hacer palanca larga en el caso de que tenga molestia o dolor para estratificar cuánto puede hacer</t>
  </si>
  <si>
    <t>palanca larga PIC (decúbito lateral, por presión)</t>
  </si>
  <si>
    <t>cadena gancho suelo en camilla decúbito lateral, por tracción, cuidar extensión de cadera</t>
  </si>
  <si>
    <t>90° cadera, 70° rodilla, dirección perpendicular de la cadena, agarrado con las manos o 90°90°</t>
  </si>
  <si>
    <t>CMJ</t>
  </si>
  <si>
    <t>CMJ: frenado</t>
  </si>
  <si>
    <t>CMJ: propulsión</t>
  </si>
  <si>
    <t>CMJ: aterrizaje</t>
  </si>
  <si>
    <t>DJ: altura del salto</t>
  </si>
  <si>
    <t>15 cm de altura a 1 pierna, 30 cm a 2 pierna</t>
  </si>
  <si>
    <t>DJ: tiempo de contacto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</si>
</sst>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11">
    <font>
      <sz val="10.0"/>
      <color rgb="FF000000"/>
      <name val="Arial"/>
      <scheme val="minor"/>
    </font>
    <font>
      <b/>
      <color theme="1"/>
      <name val="Arial"/>
      <scheme val="minor"/>
    </font>
    <font/>
    <font>
      <color theme="1"/>
      <name val="Arial"/>
      <scheme val="minor"/>
    </font>
    <font>
      <color theme="1"/>
      <name val="Arial"/>
    </font>
    <font>
      <color rgb="FF000000"/>
      <name val="Arial"/>
      <scheme val="minor"/>
    </font>
    <font>
      <b/>
      <color rgb="FF000000"/>
      <name val="Arial"/>
      <scheme val="minor"/>
    </font>
    <font>
      <b/>
      <color theme="1"/>
      <name val="Arial"/>
    </font>
    <font>
      <color rgb="FF000000"/>
      <name val="Arial"/>
    </font>
    <font>
      <i/>
      <color theme="1"/>
      <name val="Arial"/>
      <scheme val="minor"/>
    </font>
    <font>
      <sz val="9.0"/>
      <color theme="1"/>
      <name val="Calibri"/>
    </font>
  </fonts>
  <fills count="8">
    <fill>
      <patternFill patternType="none"/>
    </fill>
    <fill>
      <patternFill patternType="lightGray"/>
    </fill>
    <fill>
      <patternFill patternType="solid">
        <fgColor rgb="FF073763"/>
        <bgColor rgb="FF073763"/>
      </patternFill>
    </fill>
    <fill>
      <patternFill patternType="solid">
        <fgColor rgb="FF9FC5E8"/>
        <bgColor rgb="FF9FC5E8"/>
      </patternFill>
    </fill>
    <fill>
      <patternFill patternType="solid">
        <fgColor rgb="FFB6D7A8"/>
        <bgColor rgb="FFB6D7A8"/>
      </patternFill>
    </fill>
    <fill>
      <patternFill patternType="solid">
        <fgColor rgb="FFEA9999"/>
        <bgColor rgb="FFEA9999"/>
      </patternFill>
    </fill>
    <fill>
      <patternFill patternType="solid">
        <fgColor rgb="FFB7E1CD"/>
        <bgColor rgb="FFB7E1CD"/>
      </patternFill>
    </fill>
    <fill>
      <patternFill patternType="solid">
        <fgColor rgb="FFFFFFFF"/>
        <bgColor rgb="FFFFFFFF"/>
      </patternFill>
    </fill>
  </fills>
  <borders count="5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rder>
    <border>
      <left style="medium">
        <color rgb="FF000000"/>
      </left>
      <bottom style="thin">
        <color rgb="FF000000"/>
      </bottom>
    </border>
    <border>
      <left style="medium">
        <color rgb="FF000000"/>
      </left>
      <top style="thin">
        <color rgb="FF000000"/>
      </top>
      <bottom style="medium">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2" numFmtId="0" xfId="0" applyBorder="1" applyFont="1"/>
    <xf borderId="3" fillId="0" fontId="1" numFmtId="0" xfId="0" applyAlignment="1" applyBorder="1" applyFont="1">
      <alignment horizontal="center" readingOrder="0"/>
    </xf>
    <xf borderId="1" fillId="0" fontId="3" numFmtId="0" xfId="0" applyAlignment="1" applyBorder="1" applyFont="1">
      <alignment horizontal="left" readingOrder="0" vertical="center"/>
    </xf>
    <xf borderId="3" fillId="0" fontId="3" numFmtId="0" xfId="0" applyAlignment="1" applyBorder="1" applyFont="1">
      <alignment horizontal="center" readingOrder="0"/>
    </xf>
    <xf borderId="3" fillId="0" fontId="3" numFmtId="164" xfId="0" applyAlignment="1" applyBorder="1" applyFont="1" applyNumberFormat="1">
      <alignment horizontal="center" readingOrder="0"/>
    </xf>
    <xf borderId="1" fillId="0" fontId="4" numFmtId="0" xfId="0" applyAlignment="1" applyBorder="1" applyFont="1">
      <alignment horizontal="left" vertical="center"/>
    </xf>
    <xf borderId="3" fillId="0" fontId="4" numFmtId="0" xfId="0" applyAlignment="1" applyBorder="1" applyFont="1">
      <alignment horizontal="center" readingOrder="0" vertical="bottom"/>
    </xf>
    <xf borderId="3" fillId="0" fontId="4" numFmtId="0" xfId="0" applyAlignment="1" applyBorder="1" applyFont="1">
      <alignment horizontal="center" readingOrder="0" shrinkToFit="0" vertical="bottom" wrapText="0"/>
    </xf>
    <xf borderId="0" fillId="0" fontId="3" numFmtId="0" xfId="0" applyAlignment="1" applyFont="1">
      <alignment readingOrder="0"/>
    </xf>
    <xf borderId="3" fillId="0" fontId="3" numFmtId="0" xfId="0" applyAlignment="1" applyBorder="1" applyFont="1">
      <alignment horizontal="center" readingOrder="0" shrinkToFit="0" wrapText="0"/>
    </xf>
    <xf borderId="4" fillId="0" fontId="3" numFmtId="0" xfId="0" applyAlignment="1" applyBorder="1" applyFont="1">
      <alignment horizontal="left" readingOrder="0" vertical="center"/>
    </xf>
    <xf borderId="2" fillId="0" fontId="3" numFmtId="0" xfId="0" applyAlignment="1" applyBorder="1" applyFont="1">
      <alignment horizontal="left" readingOrder="0" vertical="center"/>
    </xf>
    <xf borderId="5" fillId="0" fontId="2" numFmtId="0" xfId="0" applyBorder="1" applyFont="1"/>
    <xf borderId="2" fillId="0" fontId="4" numFmtId="0" xfId="0" applyAlignment="1" applyBorder="1" applyFont="1">
      <alignment horizontal="left" vertical="center"/>
    </xf>
    <xf borderId="3" fillId="0" fontId="5" numFmtId="0" xfId="0" applyAlignment="1" applyBorder="1" applyFont="1">
      <alignment horizontal="center" readingOrder="0"/>
    </xf>
    <xf borderId="2" fillId="0" fontId="4" numFmtId="0" xfId="0" applyAlignment="1" applyBorder="1" applyFont="1">
      <alignment horizontal="left" readingOrder="0" vertical="center"/>
    </xf>
    <xf borderId="3" fillId="0" fontId="6" numFmtId="0" xfId="0" applyAlignment="1" applyBorder="1" applyFont="1">
      <alignment horizontal="center" readingOrder="0"/>
    </xf>
    <xf borderId="3" fillId="0" fontId="3" numFmtId="0" xfId="0" applyAlignment="1" applyBorder="1" applyFont="1">
      <alignment horizontal="left" readingOrder="0" vertical="center"/>
    </xf>
    <xf borderId="6" fillId="0" fontId="2" numFmtId="0" xfId="0" applyBorder="1" applyFont="1"/>
    <xf borderId="4" fillId="0" fontId="4" numFmtId="0" xfId="0" applyAlignment="1" applyBorder="1" applyFont="1">
      <alignment horizontal="left" vertical="center"/>
    </xf>
    <xf borderId="3" fillId="0" fontId="7" numFmtId="0" xfId="0" applyAlignment="1" applyBorder="1" applyFont="1">
      <alignment horizontal="center" readingOrder="0" vertical="bottom"/>
    </xf>
    <xf borderId="4" fillId="0" fontId="4" numFmtId="0" xfId="0" applyAlignment="1" applyBorder="1" applyFont="1">
      <alignment horizontal="left" readingOrder="0" vertical="center"/>
    </xf>
    <xf borderId="3" fillId="0" fontId="4" numFmtId="0" xfId="0" applyAlignment="1" applyBorder="1" applyFont="1">
      <alignment horizontal="left" vertical="center"/>
    </xf>
    <xf borderId="2" fillId="0" fontId="4" numFmtId="0" xfId="0" applyAlignment="1" applyBorder="1" applyFont="1">
      <alignment horizontal="center" readingOrder="0" vertical="center"/>
    </xf>
    <xf borderId="2" fillId="0" fontId="4" numFmtId="0" xfId="0" applyAlignment="1" applyBorder="1" applyFont="1">
      <alignment horizontal="center" readingOrder="0" vertical="bottom"/>
    </xf>
    <xf borderId="3" fillId="0" fontId="4" numFmtId="0" xfId="0" applyAlignment="1" applyBorder="1" applyFont="1">
      <alignment horizontal="center" readingOrder="0" vertical="center"/>
    </xf>
    <xf borderId="3" fillId="0" fontId="4" numFmtId="0" xfId="0" applyAlignment="1" applyBorder="1" applyFont="1">
      <alignment horizontal="left" readingOrder="0" vertical="center"/>
    </xf>
    <xf borderId="2" fillId="0" fontId="5" numFmtId="0" xfId="0" applyAlignment="1" applyBorder="1" applyFont="1">
      <alignment horizontal="center" readingOrder="0"/>
    </xf>
    <xf borderId="7" fillId="0" fontId="4" numFmtId="0" xfId="0" applyAlignment="1" applyBorder="1" applyFont="1">
      <alignment readingOrder="0" vertical="center"/>
    </xf>
    <xf borderId="8" fillId="0" fontId="2" numFmtId="0" xfId="0" applyBorder="1" applyFont="1"/>
    <xf borderId="3" fillId="0" fontId="4" numFmtId="0" xfId="0" applyAlignment="1" applyBorder="1" applyFont="1">
      <alignment readingOrder="0"/>
    </xf>
    <xf borderId="3" fillId="0" fontId="4" numFmtId="0" xfId="0" applyBorder="1" applyFont="1"/>
    <xf borderId="1" fillId="0" fontId="4" numFmtId="0" xfId="0" applyAlignment="1" applyBorder="1" applyFont="1">
      <alignment vertical="bottom"/>
    </xf>
    <xf borderId="9" fillId="0" fontId="2" numFmtId="0" xfId="0" applyBorder="1" applyFont="1"/>
    <xf borderId="4" fillId="0" fontId="4" numFmtId="0" xfId="0" applyAlignment="1" applyBorder="1" applyFont="1">
      <alignment vertical="center"/>
    </xf>
    <xf borderId="2" fillId="0" fontId="4" numFmtId="0" xfId="0" applyAlignment="1" applyBorder="1" applyFont="1">
      <alignment readingOrder="0" vertical="bottom"/>
    </xf>
    <xf borderId="4" fillId="0" fontId="4" numFmtId="0" xfId="0" applyAlignment="1" applyBorder="1" applyFont="1">
      <alignment horizontal="center" readingOrder="0"/>
    </xf>
    <xf borderId="3" fillId="0" fontId="4" numFmtId="0" xfId="0" applyAlignment="1" applyBorder="1" applyFont="1">
      <alignment readingOrder="0" vertical="bottom"/>
    </xf>
    <xf borderId="3" fillId="0" fontId="4" numFmtId="0" xfId="0" applyAlignment="1" applyBorder="1" applyFont="1">
      <alignment readingOrder="0" vertical="center"/>
    </xf>
    <xf borderId="3" fillId="0" fontId="4" numFmtId="0" xfId="0" applyAlignment="1" applyBorder="1" applyFont="1">
      <alignment horizontal="center" readingOrder="0"/>
    </xf>
    <xf borderId="4" fillId="0" fontId="4" numFmtId="0" xfId="0" applyAlignment="1" applyBorder="1" applyFont="1">
      <alignment readingOrder="0" vertical="center"/>
    </xf>
    <xf borderId="3" fillId="0" fontId="4" numFmtId="0" xfId="0" applyAlignment="1" applyBorder="1" applyFont="1">
      <alignment vertical="bottom"/>
    </xf>
    <xf borderId="4" fillId="0" fontId="4" numFmtId="0" xfId="0" applyAlignment="1" applyBorder="1" applyFont="1">
      <alignment horizontal="center" readingOrder="0" vertical="bottom"/>
    </xf>
    <xf borderId="0" fillId="0" fontId="3" numFmtId="0" xfId="0" applyAlignment="1" applyFont="1">
      <alignment horizontal="left" vertical="center"/>
    </xf>
    <xf borderId="0" fillId="0" fontId="5" numFmtId="0" xfId="0" applyAlignment="1" applyFont="1">
      <alignment horizontal="center"/>
    </xf>
    <xf borderId="0" fillId="0" fontId="3" numFmtId="0" xfId="0" applyAlignment="1" applyFont="1">
      <alignment horizontal="center"/>
    </xf>
    <xf borderId="0" fillId="2" fontId="1" numFmtId="0" xfId="0" applyAlignment="1" applyFill="1" applyFont="1">
      <alignment readingOrder="0"/>
    </xf>
    <xf borderId="0" fillId="2" fontId="3" numFmtId="0" xfId="0" applyFont="1"/>
    <xf borderId="10" fillId="0" fontId="1" numFmtId="0" xfId="0" applyAlignment="1" applyBorder="1" applyFont="1">
      <alignment readingOrder="0"/>
    </xf>
    <xf borderId="11" fillId="0" fontId="1" numFmtId="0" xfId="0" applyAlignment="1" applyBorder="1" applyFont="1">
      <alignment readingOrder="0"/>
    </xf>
    <xf borderId="11" fillId="0" fontId="1" numFmtId="0" xfId="0" applyAlignment="1" applyBorder="1" applyFont="1">
      <alignment horizontal="center" readingOrder="0"/>
    </xf>
    <xf borderId="12" fillId="0" fontId="1" numFmtId="0" xfId="0" applyAlignment="1" applyBorder="1" applyFont="1">
      <alignment horizontal="center" readingOrder="0"/>
    </xf>
    <xf borderId="13" fillId="0" fontId="1" numFmtId="0" xfId="0" applyAlignment="1" applyBorder="1" applyFont="1">
      <alignment horizontal="center" readingOrder="0"/>
    </xf>
    <xf borderId="0" fillId="0" fontId="1" numFmtId="0" xfId="0" applyAlignment="1" applyFont="1">
      <alignment readingOrder="0"/>
    </xf>
    <xf borderId="0" fillId="0" fontId="1" numFmtId="0" xfId="0" applyAlignment="1" applyFont="1">
      <alignment horizontal="center" readingOrder="0"/>
    </xf>
    <xf borderId="14" fillId="0" fontId="1" numFmtId="0" xfId="0" applyAlignment="1" applyBorder="1" applyFont="1">
      <alignment horizontal="center" readingOrder="0"/>
    </xf>
    <xf borderId="13" fillId="0" fontId="2" numFmtId="0" xfId="0" applyBorder="1" applyFont="1"/>
    <xf borderId="13" fillId="0" fontId="1" numFmtId="0" xfId="0" applyAlignment="1" applyBorder="1" applyFont="1">
      <alignment readingOrder="0"/>
    </xf>
    <xf borderId="14" fillId="0" fontId="3" numFmtId="0" xfId="0" applyBorder="1" applyFont="1"/>
    <xf borderId="15" fillId="0" fontId="1" numFmtId="0" xfId="0" applyAlignment="1" applyBorder="1" applyFont="1">
      <alignment readingOrder="0"/>
    </xf>
    <xf borderId="16" fillId="0" fontId="3" numFmtId="0" xfId="0" applyAlignment="1" applyBorder="1" applyFont="1">
      <alignment horizontal="center"/>
    </xf>
    <xf borderId="16" fillId="0" fontId="1" numFmtId="0" xfId="0" applyAlignment="1" applyBorder="1" applyFont="1">
      <alignment readingOrder="0"/>
    </xf>
    <xf borderId="17" fillId="0" fontId="3" numFmtId="164" xfId="0" applyAlignment="1" applyBorder="1" applyFont="1" applyNumberFormat="1">
      <alignment horizontal="center"/>
    </xf>
    <xf borderId="18" fillId="0" fontId="2" numFmtId="0" xfId="0" applyBorder="1" applyFont="1"/>
    <xf borderId="17" fillId="0" fontId="7" numFmtId="0" xfId="0" applyAlignment="1" applyBorder="1" applyFont="1">
      <alignment vertical="bottom"/>
    </xf>
    <xf borderId="12" fillId="0" fontId="3" numFmtId="0" xfId="0" applyAlignment="1" applyBorder="1" applyFont="1">
      <alignment horizontal="center" readingOrder="0"/>
    </xf>
    <xf borderId="19" fillId="0" fontId="1" numFmtId="0" xfId="0" applyAlignment="1" applyBorder="1" applyFont="1">
      <alignment readingOrder="0"/>
    </xf>
    <xf borderId="3" fillId="0" fontId="3" numFmtId="0" xfId="0" applyAlignment="1" applyBorder="1" applyFont="1">
      <alignment horizontal="center"/>
    </xf>
    <xf borderId="3" fillId="0" fontId="1" numFmtId="0" xfId="0" applyAlignment="1" applyBorder="1" applyFont="1">
      <alignment readingOrder="0"/>
    </xf>
    <xf borderId="1" fillId="0" fontId="3" numFmtId="0" xfId="0" applyAlignment="1" applyBorder="1" applyFont="1">
      <alignment horizontal="center"/>
    </xf>
    <xf borderId="1" fillId="0" fontId="1" numFmtId="0" xfId="0" applyAlignment="1" applyBorder="1" applyFont="1">
      <alignment readingOrder="0"/>
    </xf>
    <xf borderId="20" fillId="0" fontId="3" numFmtId="0" xfId="0" applyAlignment="1" applyBorder="1" applyFont="1">
      <alignment horizontal="center"/>
    </xf>
    <xf borderId="19" fillId="0" fontId="7" numFmtId="0" xfId="0" applyAlignment="1" applyBorder="1" applyFont="1">
      <alignment vertical="bottom"/>
    </xf>
    <xf borderId="1" fillId="0" fontId="4" numFmtId="0" xfId="0" applyAlignment="1" applyBorder="1" applyFont="1">
      <alignment horizontal="center" vertical="bottom"/>
    </xf>
    <xf borderId="3" fillId="0" fontId="7" numFmtId="0" xfId="0" applyAlignment="1" applyBorder="1" applyFont="1">
      <alignment vertical="bottom"/>
    </xf>
    <xf borderId="21" fillId="0" fontId="4" numFmtId="0" xfId="0" applyAlignment="1" applyBorder="1" applyFont="1">
      <alignment horizontal="center" vertical="bottom"/>
    </xf>
    <xf borderId="3" fillId="0" fontId="7" numFmtId="0" xfId="0" applyAlignment="1" applyBorder="1" applyFont="1">
      <alignment readingOrder="0" vertical="bottom"/>
    </xf>
    <xf borderId="21" fillId="0" fontId="2" numFmtId="0" xfId="0" applyBorder="1" applyFont="1"/>
    <xf borderId="22" fillId="0" fontId="2" numFmtId="0" xfId="0" applyBorder="1" applyFont="1"/>
    <xf borderId="23" fillId="0" fontId="3" numFmtId="0" xfId="0" applyAlignment="1" applyBorder="1" applyFont="1">
      <alignment horizontal="center" readingOrder="0"/>
    </xf>
    <xf borderId="24" fillId="0" fontId="1" numFmtId="0" xfId="0" applyAlignment="1" applyBorder="1" applyFont="1">
      <alignment readingOrder="0"/>
    </xf>
    <xf borderId="25" fillId="0" fontId="3" numFmtId="0" xfId="0" applyAlignment="1" applyBorder="1" applyFont="1">
      <alignment horizontal="center"/>
    </xf>
    <xf borderId="26" fillId="0" fontId="2" numFmtId="0" xfId="0" applyBorder="1" applyFont="1"/>
    <xf borderId="25" fillId="0" fontId="1" numFmtId="0" xfId="0" applyAlignment="1" applyBorder="1" applyFont="1">
      <alignment readingOrder="0"/>
    </xf>
    <xf borderId="25" fillId="0" fontId="8" numFmtId="0" xfId="0" applyAlignment="1" applyBorder="1" applyFont="1">
      <alignment horizontal="center" readingOrder="0" vertical="bottom"/>
    </xf>
    <xf borderId="27" fillId="0" fontId="2" numFmtId="0" xfId="0" applyBorder="1" applyFont="1"/>
    <xf borderId="28" fillId="0" fontId="2" numFmtId="0" xfId="0" applyBorder="1" applyFont="1"/>
    <xf borderId="29" fillId="0" fontId="3" numFmtId="0" xfId="0" applyAlignment="1" applyBorder="1" applyFont="1">
      <alignment readingOrder="0" vertical="center"/>
    </xf>
    <xf borderId="30" fillId="0" fontId="2" numFmtId="0" xfId="0" applyBorder="1" applyFont="1"/>
    <xf borderId="31" fillId="0" fontId="2" numFmtId="0" xfId="0" applyBorder="1" applyFont="1"/>
    <xf borderId="32" fillId="3" fontId="1" numFmtId="0" xfId="0" applyAlignment="1" applyBorder="1" applyFill="1" applyFont="1">
      <alignment horizontal="center" readingOrder="0"/>
    </xf>
    <xf borderId="33" fillId="0" fontId="2" numFmtId="0" xfId="0" applyBorder="1" applyFont="1"/>
    <xf borderId="34" fillId="0" fontId="2" numFmtId="0" xfId="0" applyBorder="1" applyFont="1"/>
    <xf borderId="19" fillId="0" fontId="3" numFmtId="0" xfId="0" applyAlignment="1" applyBorder="1" applyFont="1">
      <alignment horizontal="center" readingOrder="0"/>
    </xf>
    <xf borderId="1" fillId="0" fontId="3" numFmtId="0" xfId="0" applyAlignment="1" applyBorder="1" applyFont="1">
      <alignment horizontal="center" readingOrder="0"/>
    </xf>
    <xf borderId="35" fillId="0" fontId="3" numFmtId="0" xfId="0" applyAlignment="1" applyBorder="1" applyFont="1">
      <alignment horizontal="center" readingOrder="0"/>
    </xf>
    <xf borderId="36" fillId="0" fontId="2" numFmtId="0" xfId="0" applyBorder="1" applyFont="1"/>
    <xf borderId="37" fillId="0" fontId="2" numFmtId="0" xfId="0" applyBorder="1" applyFont="1"/>
    <xf borderId="7" fillId="0" fontId="3" numFmtId="0" xfId="0" applyAlignment="1" applyBorder="1" applyFont="1">
      <alignment horizontal="left" readingOrder="0" vertical="center"/>
    </xf>
    <xf borderId="3" fillId="0" fontId="3" numFmtId="0" xfId="0" applyAlignment="1" applyBorder="1" applyFont="1">
      <alignment horizontal="center" readingOrder="0" vertical="center"/>
    </xf>
    <xf borderId="38" fillId="0" fontId="2" numFmtId="0" xfId="0" applyBorder="1" applyFont="1"/>
    <xf borderId="14" fillId="0" fontId="2" numFmtId="0" xfId="0" applyBorder="1" applyFont="1"/>
    <xf borderId="39" fillId="0" fontId="2" numFmtId="0" xfId="0" applyBorder="1" applyFont="1"/>
    <xf borderId="40" fillId="0" fontId="2" numFmtId="0" xfId="0" applyBorder="1" applyFont="1"/>
    <xf borderId="41" fillId="0" fontId="2" numFmtId="0" xfId="0" applyBorder="1" applyFont="1"/>
    <xf borderId="23" fillId="0" fontId="1" numFmtId="0" xfId="0" applyAlignment="1" applyBorder="1" applyFont="1">
      <alignment horizontal="center" readingOrder="0"/>
    </xf>
    <xf borderId="23" fillId="0" fontId="3" numFmtId="0" xfId="0" applyBorder="1" applyFont="1"/>
    <xf borderId="3" fillId="0" fontId="4" numFmtId="0" xfId="0" applyAlignment="1" applyBorder="1" applyFont="1">
      <alignment horizontal="center" vertical="bottom"/>
    </xf>
    <xf borderId="36" fillId="0" fontId="4" numFmtId="0" xfId="0" applyAlignment="1" applyBorder="1" applyFont="1">
      <alignment vertical="bottom"/>
    </xf>
    <xf borderId="19" fillId="0" fontId="4" numFmtId="0" xfId="0" applyAlignment="1" applyBorder="1" applyFont="1">
      <alignment readingOrder="0" vertical="bottom"/>
    </xf>
    <xf borderId="23" fillId="0" fontId="4" numFmtId="0" xfId="0" applyAlignment="1" applyBorder="1" applyFont="1">
      <alignment vertical="bottom"/>
    </xf>
    <xf borderId="19" fillId="0" fontId="4" numFmtId="0" xfId="0" applyAlignment="1" applyBorder="1" applyFont="1">
      <alignment horizontal="center" readingOrder="0" vertical="bottom"/>
    </xf>
    <xf borderId="35" fillId="0" fontId="4" numFmtId="0" xfId="0" applyAlignment="1" applyBorder="1" applyFont="1">
      <alignment vertical="bottom"/>
    </xf>
    <xf borderId="42" fillId="0" fontId="4" numFmtId="0" xfId="0" applyAlignment="1" applyBorder="1" applyFont="1">
      <alignment readingOrder="0" vertical="center"/>
    </xf>
    <xf borderId="3" fillId="4" fontId="4" numFmtId="0" xfId="0" applyAlignment="1" applyBorder="1" applyFill="1" applyFont="1">
      <alignment horizontal="center" vertical="bottom"/>
    </xf>
    <xf borderId="43" fillId="0" fontId="2" numFmtId="0" xfId="0" applyBorder="1" applyFont="1"/>
    <xf borderId="23" fillId="0" fontId="7" numFmtId="0" xfId="0" applyAlignment="1" applyBorder="1" applyFont="1">
      <alignment horizontal="center" vertical="bottom"/>
    </xf>
    <xf borderId="3" fillId="0" fontId="4" numFmtId="0" xfId="0" applyAlignment="1" applyBorder="1" applyFont="1">
      <alignment vertical="bottom"/>
    </xf>
    <xf borderId="44" fillId="0" fontId="4" numFmtId="0" xfId="0" applyAlignment="1" applyBorder="1" applyFont="1">
      <alignment vertical="bottom"/>
    </xf>
    <xf borderId="36" fillId="0" fontId="3" numFmtId="0" xfId="0" applyAlignment="1" applyBorder="1" applyFont="1">
      <alignment horizontal="center" readingOrder="0"/>
    </xf>
    <xf borderId="37" fillId="0" fontId="3" numFmtId="0" xfId="0" applyAlignment="1" applyBorder="1" applyFont="1">
      <alignment horizontal="center" readingOrder="0"/>
    </xf>
    <xf borderId="7" fillId="0" fontId="3" numFmtId="0" xfId="0" applyAlignment="1" applyBorder="1" applyFont="1">
      <alignment horizontal="center" readingOrder="0" vertical="center"/>
    </xf>
    <xf borderId="0" fillId="0" fontId="3" numFmtId="0" xfId="0" applyAlignment="1" applyFont="1">
      <alignment horizontal="center" readingOrder="0"/>
    </xf>
    <xf borderId="14" fillId="0" fontId="3" numFmtId="0" xfId="0" applyAlignment="1" applyBorder="1" applyFont="1">
      <alignment horizontal="center" readingOrder="0"/>
    </xf>
    <xf borderId="40" fillId="0" fontId="3" numFmtId="0" xfId="0" applyAlignment="1" applyBorder="1" applyFont="1">
      <alignment horizontal="center" readingOrder="0"/>
    </xf>
    <xf borderId="41" fillId="0" fontId="3" numFmtId="0" xfId="0" applyAlignment="1" applyBorder="1" applyFont="1">
      <alignment horizontal="center" readingOrder="0"/>
    </xf>
    <xf borderId="35" fillId="0" fontId="4" numFmtId="0" xfId="0" applyAlignment="1" applyBorder="1" applyFont="1">
      <alignment horizontal="center" readingOrder="0" vertical="bottom"/>
    </xf>
    <xf borderId="45" fillId="0" fontId="2" numFmtId="0" xfId="0" applyBorder="1" applyFont="1"/>
    <xf borderId="46" fillId="0" fontId="2" numFmtId="0" xfId="0" applyBorder="1" applyFont="1"/>
    <xf borderId="47" fillId="0" fontId="2" numFmtId="0" xfId="0" applyBorder="1" applyFont="1"/>
    <xf borderId="13" fillId="0" fontId="4" numFmtId="0" xfId="0" applyAlignment="1" applyBorder="1" applyFont="1">
      <alignment horizontal="left" vertical="bottom"/>
    </xf>
    <xf borderId="7" fillId="0" fontId="3" numFmtId="0" xfId="0" applyAlignment="1" applyBorder="1" applyFont="1">
      <alignment readingOrder="0" vertical="center"/>
    </xf>
    <xf borderId="4" fillId="0" fontId="3" numFmtId="0" xfId="0" applyAlignment="1" applyBorder="1" applyFont="1">
      <alignment readingOrder="0" vertical="center"/>
    </xf>
    <xf borderId="3" fillId="0" fontId="3" numFmtId="0" xfId="0" applyAlignment="1" applyBorder="1" applyFont="1">
      <alignment readingOrder="0"/>
    </xf>
    <xf borderId="0" fillId="2" fontId="3" numFmtId="0" xfId="0" applyAlignment="1" applyFont="1">
      <alignment readingOrder="0" vertical="center"/>
    </xf>
    <xf borderId="0" fillId="2" fontId="3" numFmtId="0" xfId="0" applyAlignment="1" applyFont="1">
      <alignment horizontal="center" readingOrder="0"/>
    </xf>
    <xf borderId="0" fillId="2" fontId="3" numFmtId="0" xfId="0" applyAlignment="1" applyFont="1">
      <alignment readingOrder="0"/>
    </xf>
    <xf borderId="7" fillId="0" fontId="4" numFmtId="0" xfId="0" applyAlignment="1" applyBorder="1" applyFont="1">
      <alignment horizontal="left" vertical="center"/>
    </xf>
    <xf borderId="3" fillId="5" fontId="4" numFmtId="0" xfId="0" applyAlignment="1" applyBorder="1" applyFill="1" applyFont="1">
      <alignment horizontal="center" vertical="bottom"/>
    </xf>
    <xf borderId="3" fillId="0" fontId="4" numFmtId="0" xfId="0" applyAlignment="1" applyBorder="1" applyFont="1">
      <alignment horizontal="center" vertical="bottom"/>
    </xf>
    <xf borderId="21" fillId="0" fontId="4" numFmtId="0" xfId="0" applyAlignment="1" applyBorder="1" applyFont="1">
      <alignment vertical="bottom"/>
    </xf>
    <xf borderId="23" fillId="0" fontId="4" numFmtId="0" xfId="0" applyAlignment="1" applyBorder="1" applyFont="1">
      <alignment horizontal="left" readingOrder="0" vertical="center"/>
    </xf>
    <xf borderId="0" fillId="2" fontId="1" numFmtId="0" xfId="0" applyAlignment="1" applyFont="1">
      <alignment horizontal="center" readingOrder="0"/>
    </xf>
    <xf borderId="43" fillId="0" fontId="4" numFmtId="0" xfId="0" applyAlignment="1" applyBorder="1" applyFont="1">
      <alignment vertical="bottom"/>
    </xf>
    <xf borderId="1" fillId="0" fontId="3" numFmtId="0" xfId="0" applyAlignment="1" applyBorder="1" applyFont="1">
      <alignment horizontal="center" readingOrder="0" vertical="center"/>
    </xf>
    <xf borderId="48" fillId="0" fontId="3" numFmtId="0" xfId="0" applyBorder="1" applyFont="1"/>
    <xf borderId="49" fillId="0" fontId="2" numFmtId="0" xfId="0" applyBorder="1" applyFont="1"/>
    <xf borderId="19" fillId="0" fontId="3" numFmtId="0" xfId="0" applyAlignment="1" applyBorder="1" applyFont="1">
      <alignment readingOrder="0"/>
    </xf>
    <xf borderId="50" fillId="0" fontId="2" numFmtId="0" xfId="0" applyBorder="1" applyFont="1"/>
    <xf borderId="32" fillId="3" fontId="7" numFmtId="0" xfId="0" applyAlignment="1" applyBorder="1" applyFont="1">
      <alignment horizontal="center" readingOrder="0" vertical="bottom"/>
    </xf>
    <xf borderId="19" fillId="0" fontId="4" numFmtId="0" xfId="0" applyAlignment="1" applyBorder="1" applyFont="1">
      <alignment vertical="bottom"/>
    </xf>
    <xf borderId="1" fillId="0" fontId="4" numFmtId="0" xfId="0" applyAlignment="1" applyBorder="1" applyFont="1">
      <alignment horizontal="center" vertical="bottom"/>
    </xf>
    <xf borderId="1" fillId="5" fontId="4" numFmtId="0" xfId="0" applyAlignment="1" applyBorder="1" applyFont="1">
      <alignment horizontal="center" vertical="bottom"/>
    </xf>
    <xf borderId="1" fillId="4" fontId="4" numFmtId="0" xfId="0" applyAlignment="1" applyBorder="1" applyFont="1">
      <alignment horizontal="center" vertical="bottom"/>
    </xf>
    <xf borderId="3" fillId="0" fontId="4" numFmtId="1" xfId="0" applyAlignment="1" applyBorder="1" applyFont="1" applyNumberFormat="1">
      <alignment horizontal="center" vertical="bottom"/>
    </xf>
    <xf borderId="1" fillId="0" fontId="4" numFmtId="0" xfId="0" applyAlignment="1" applyBorder="1" applyFont="1">
      <alignment horizontal="center" readingOrder="0" vertical="bottom"/>
    </xf>
    <xf borderId="13" fillId="0" fontId="4" numFmtId="0" xfId="0" applyAlignment="1" applyBorder="1" applyFont="1">
      <alignment vertical="bottom"/>
    </xf>
    <xf borderId="0" fillId="0" fontId="4" numFmtId="0" xfId="0" applyAlignment="1" applyFont="1">
      <alignment vertical="bottom"/>
    </xf>
    <xf borderId="23" fillId="0" fontId="4" numFmtId="0" xfId="0" applyAlignment="1" applyBorder="1" applyFont="1">
      <alignment horizontal="center" vertical="bottom"/>
    </xf>
    <xf borderId="7" fillId="0" fontId="4" numFmtId="0" xfId="0" applyAlignment="1" applyBorder="1" applyFont="1">
      <alignment vertical="center"/>
    </xf>
    <xf borderId="41" fillId="0" fontId="1" numFmtId="0" xfId="0" applyAlignment="1" applyBorder="1" applyFont="1">
      <alignment horizontal="center" readingOrder="0"/>
    </xf>
    <xf borderId="23" fillId="0" fontId="7" numFmtId="0" xfId="0" applyAlignment="1" applyBorder="1" applyFont="1">
      <alignment horizontal="center" vertical="bottom"/>
    </xf>
    <xf borderId="43" fillId="0" fontId="4" numFmtId="0" xfId="0" applyAlignment="1" applyBorder="1" applyFont="1">
      <alignment vertical="bottom"/>
    </xf>
    <xf borderId="23" fillId="0" fontId="4" numFmtId="0" xfId="0" applyAlignment="1" applyBorder="1" applyFont="1">
      <alignment horizontal="left" vertical="bottom"/>
    </xf>
    <xf borderId="23" fillId="0" fontId="4" numFmtId="0" xfId="0" applyAlignment="1" applyBorder="1" applyFont="1">
      <alignment vertical="bottom"/>
    </xf>
    <xf borderId="3" fillId="0" fontId="4" numFmtId="1" xfId="0" applyAlignment="1" applyBorder="1" applyFont="1" applyNumberFormat="1">
      <alignment horizontal="center" readingOrder="0" vertical="bottom"/>
    </xf>
    <xf borderId="1" fillId="0" fontId="4" numFmtId="2" xfId="0" applyAlignment="1" applyBorder="1" applyFont="1" applyNumberFormat="1">
      <alignment horizontal="center" vertical="bottom"/>
    </xf>
    <xf borderId="1" fillId="0" fontId="5" numFmtId="0" xfId="0" applyAlignment="1" applyBorder="1" applyFont="1">
      <alignment horizontal="center" readingOrder="0"/>
    </xf>
    <xf borderId="21" fillId="0" fontId="4" numFmtId="0" xfId="0" applyAlignment="1" applyBorder="1" applyFont="1">
      <alignment readingOrder="0" vertical="bottom"/>
    </xf>
    <xf borderId="14" fillId="0" fontId="4" numFmtId="0" xfId="0" applyAlignment="1" applyBorder="1" applyFont="1">
      <alignment vertical="bottom"/>
    </xf>
    <xf borderId="32" fillId="3" fontId="7" numFmtId="0" xfId="0" applyAlignment="1" applyBorder="1" applyFont="1">
      <alignment horizontal="center" vertical="bottom"/>
    </xf>
    <xf borderId="3" fillId="0" fontId="4" numFmtId="0" xfId="0" applyAlignment="1" applyBorder="1" applyFont="1">
      <alignment horizontal="center" readingOrder="0" shrinkToFit="0" wrapText="1"/>
    </xf>
    <xf borderId="1" fillId="0" fontId="4" numFmtId="0" xfId="0" applyAlignment="1" applyBorder="1" applyFont="1">
      <alignment horizontal="center"/>
    </xf>
    <xf borderId="20" fillId="0" fontId="3" numFmtId="0" xfId="0" applyAlignment="1" applyBorder="1" applyFont="1">
      <alignment horizontal="center" readingOrder="0"/>
    </xf>
    <xf borderId="4" fillId="0" fontId="3" numFmtId="0" xfId="0" applyAlignment="1" applyBorder="1" applyFont="1">
      <alignment horizontal="center"/>
    </xf>
    <xf borderId="3" fillId="0" fontId="3" numFmtId="1" xfId="0" applyAlignment="1" applyBorder="1" applyFont="1" applyNumberFormat="1">
      <alignment horizontal="center"/>
    </xf>
    <xf borderId="21" fillId="0" fontId="5" numFmtId="0" xfId="0" applyAlignment="1" applyBorder="1" applyFont="1">
      <alignment horizontal="center" readingOrder="0"/>
    </xf>
    <xf borderId="40" fillId="0" fontId="4" numFmtId="2" xfId="0" applyAlignment="1" applyBorder="1" applyFont="1" applyNumberFormat="1">
      <alignment horizontal="center" vertical="bottom"/>
    </xf>
    <xf borderId="3" fillId="0" fontId="3" numFmtId="1" xfId="0" applyAlignment="1" applyBorder="1" applyFont="1" applyNumberFormat="1">
      <alignment horizontal="center" readingOrder="0"/>
    </xf>
    <xf borderId="3" fillId="0" fontId="4" numFmtId="2" xfId="0" applyAlignment="1" applyBorder="1" applyFont="1" applyNumberFormat="1">
      <alignment horizontal="center" vertical="bottom"/>
    </xf>
    <xf borderId="20" fillId="0" fontId="3" numFmtId="9" xfId="0" applyAlignment="1" applyBorder="1" applyFont="1" applyNumberFormat="1">
      <alignment horizontal="center" readingOrder="0"/>
    </xf>
    <xf borderId="23" fillId="0" fontId="3" numFmtId="0" xfId="0" applyAlignment="1" applyBorder="1" applyFont="1">
      <alignment readingOrder="0"/>
    </xf>
    <xf borderId="5" fillId="0" fontId="3" numFmtId="0" xfId="0" applyAlignment="1" applyBorder="1" applyFont="1">
      <alignment horizontal="center"/>
    </xf>
    <xf borderId="20" fillId="0" fontId="4" numFmtId="4" xfId="0" applyAlignment="1" applyBorder="1" applyFont="1" applyNumberFormat="1">
      <alignment horizontal="center" readingOrder="0" vertical="bottom"/>
    </xf>
    <xf borderId="19" fillId="0" fontId="4" numFmtId="0" xfId="0" applyAlignment="1" applyBorder="1" applyFont="1">
      <alignment horizontal="center"/>
    </xf>
    <xf borderId="3" fillId="0" fontId="4" numFmtId="0" xfId="0" applyAlignment="1" applyBorder="1" applyFont="1">
      <alignment horizontal="center"/>
    </xf>
    <xf borderId="20" fillId="0" fontId="4" numFmtId="0" xfId="0" applyAlignment="1" applyBorder="1" applyFont="1">
      <alignment horizontal="center"/>
    </xf>
    <xf borderId="19" fillId="0" fontId="4" numFmtId="0" xfId="0" applyAlignment="1" applyBorder="1" applyFont="1">
      <alignment vertical="bottom"/>
    </xf>
    <xf borderId="20" fillId="0" fontId="4" numFmtId="9" xfId="0" applyAlignment="1" applyBorder="1" applyFont="1" applyNumberFormat="1">
      <alignment horizontal="center" vertical="bottom"/>
    </xf>
    <xf borderId="1" fillId="0" fontId="4" numFmtId="0" xfId="0" applyAlignment="1" applyBorder="1" applyFont="1">
      <alignment vertical="bottom"/>
    </xf>
    <xf borderId="20" fillId="0" fontId="4" numFmtId="0" xfId="0" applyAlignment="1" applyBorder="1" applyFont="1">
      <alignment horizontal="center" readingOrder="0" vertical="bottom"/>
    </xf>
    <xf borderId="19" fillId="0" fontId="4" numFmtId="0" xfId="0" applyAlignment="1" applyBorder="1" applyFont="1">
      <alignment horizontal="center" vertical="bottom"/>
    </xf>
    <xf borderId="3" fillId="5" fontId="4" numFmtId="1" xfId="0" applyAlignment="1" applyBorder="1" applyFont="1" applyNumberFormat="1">
      <alignment horizontal="center" vertical="bottom"/>
    </xf>
    <xf borderId="3" fillId="0" fontId="4" numFmtId="9" xfId="0" applyAlignment="1" applyBorder="1" applyFont="1" applyNumberFormat="1">
      <alignment horizontal="center" vertical="bottom"/>
    </xf>
    <xf borderId="19" fillId="0" fontId="4" numFmtId="0" xfId="0" applyAlignment="1" applyBorder="1" applyFont="1">
      <alignment horizontal="center" vertical="bottom"/>
    </xf>
    <xf borderId="0" fillId="0" fontId="4" numFmtId="0" xfId="0" applyAlignment="1" applyFont="1">
      <alignment vertical="bottom"/>
    </xf>
    <xf borderId="14" fillId="0" fontId="4" numFmtId="0" xfId="0" applyAlignment="1" applyBorder="1" applyFont="1">
      <alignment vertical="bottom"/>
    </xf>
    <xf borderId="19" fillId="0" fontId="4" numFmtId="0" xfId="0" applyAlignment="1" applyBorder="1" applyFont="1">
      <alignment readingOrder="0"/>
    </xf>
    <xf borderId="2" fillId="0" fontId="4" numFmtId="0" xfId="0" applyAlignment="1" applyBorder="1" applyFont="1">
      <alignment horizontal="center" vertical="bottom"/>
    </xf>
    <xf borderId="0" fillId="0" fontId="4" numFmtId="0" xfId="0" applyAlignment="1" applyFont="1">
      <alignment horizontal="left" vertical="bottom"/>
    </xf>
    <xf borderId="14" fillId="0" fontId="4" numFmtId="0" xfId="0" applyAlignment="1" applyBorder="1" applyFont="1">
      <alignment horizontal="left" vertical="bottom"/>
    </xf>
    <xf borderId="14" fillId="0" fontId="7" numFmtId="0" xfId="0" applyAlignment="1" applyBorder="1" applyFont="1">
      <alignment horizontal="center" vertical="bottom"/>
    </xf>
    <xf borderId="4" fillId="0" fontId="4" numFmtId="0" xfId="0" applyAlignment="1" applyBorder="1" applyFont="1">
      <alignment horizontal="center" readingOrder="0" vertical="center"/>
    </xf>
    <xf borderId="7" fillId="0" fontId="4" numFmtId="0" xfId="0" applyAlignment="1" applyBorder="1" applyFont="1">
      <alignment vertical="center"/>
    </xf>
    <xf borderId="3" fillId="6" fontId="4" numFmtId="1" xfId="0" applyAlignment="1" applyBorder="1" applyFill="1" applyFont="1" applyNumberFormat="1">
      <alignment horizontal="center" vertical="bottom"/>
    </xf>
    <xf borderId="32" fillId="3" fontId="7" numFmtId="0" xfId="0" applyAlignment="1" applyBorder="1" applyFont="1">
      <alignment horizontal="center" vertical="bottom"/>
    </xf>
    <xf borderId="19" fillId="0" fontId="4" numFmtId="0" xfId="0" applyBorder="1" applyFont="1"/>
    <xf borderId="0" fillId="0" fontId="4" numFmtId="0" xfId="0" applyAlignment="1" applyFont="1">
      <alignment horizontal="center" vertical="bottom"/>
    </xf>
    <xf borderId="10" fillId="3" fontId="7" numFmtId="0" xfId="0" applyAlignment="1" applyBorder="1" applyFont="1">
      <alignment horizontal="center" readingOrder="0" vertical="bottom"/>
    </xf>
    <xf borderId="11" fillId="0" fontId="2" numFmtId="0" xfId="0" applyBorder="1" applyFont="1"/>
    <xf borderId="12" fillId="0" fontId="2" numFmtId="0" xfId="0" applyBorder="1" applyFont="1"/>
    <xf borderId="35" fillId="0" fontId="4" numFmtId="0" xfId="0" applyAlignment="1" applyBorder="1" applyFont="1">
      <alignment vertical="center"/>
    </xf>
    <xf borderId="13" fillId="0" fontId="4" numFmtId="0" xfId="0" applyAlignment="1" applyBorder="1" applyFont="1">
      <alignment vertical="bottom"/>
    </xf>
    <xf borderId="37" fillId="0" fontId="4" numFmtId="0" xfId="0" applyAlignment="1" applyBorder="1" applyFont="1">
      <alignment vertical="bottom"/>
    </xf>
    <xf borderId="43" fillId="0" fontId="3" numFmtId="0" xfId="0" applyAlignment="1" applyBorder="1" applyFont="1">
      <alignment readingOrder="0"/>
    </xf>
    <xf borderId="13" fillId="0" fontId="3" numFmtId="0" xfId="0" applyAlignment="1" applyBorder="1" applyFont="1">
      <alignment readingOrder="0"/>
    </xf>
    <xf borderId="40" fillId="0" fontId="4" numFmtId="0" xfId="0" applyAlignment="1" applyBorder="1" applyFont="1">
      <alignment vertical="bottom"/>
    </xf>
    <xf borderId="41" fillId="0" fontId="4" numFmtId="0" xfId="0" applyAlignment="1" applyBorder="1" applyFont="1">
      <alignment vertical="bottom"/>
    </xf>
    <xf borderId="42" fillId="0" fontId="4" numFmtId="0" xfId="0" applyAlignment="1" applyBorder="1" applyFont="1">
      <alignment vertical="bottom"/>
    </xf>
    <xf borderId="13" fillId="0" fontId="3" numFmtId="0" xfId="0" applyBorder="1" applyFont="1"/>
    <xf borderId="10" fillId="0" fontId="9" numFmtId="0" xfId="0" applyAlignment="1" applyBorder="1" applyFont="1">
      <alignment horizontal="center" readingOrder="0" shrinkToFit="0" vertical="center" wrapText="1"/>
    </xf>
    <xf borderId="51" fillId="0" fontId="2" numFmtId="0" xfId="0" applyBorder="1" applyFont="1"/>
    <xf borderId="52" fillId="0" fontId="2" numFmtId="0" xfId="0" applyBorder="1" applyFont="1"/>
    <xf borderId="53" fillId="0" fontId="2" numFmtId="0" xfId="0" applyBorder="1" applyFont="1"/>
    <xf borderId="0" fillId="7" fontId="3" numFmtId="0" xfId="0" applyFill="1" applyFont="1"/>
    <xf borderId="0" fillId="0" fontId="3" numFmtId="0" xfId="0" applyAlignment="1" applyFont="1">
      <alignment horizontal="left" readingOrder="0" vertical="center"/>
    </xf>
    <xf borderId="0" fillId="0" fontId="3" numFmtId="0" xfId="0" applyAlignment="1" applyFont="1">
      <alignment readingOrder="0" vertical="center"/>
    </xf>
    <xf borderId="0" fillId="0" fontId="3"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3" numFmtId="0" xfId="0" applyAlignment="1" applyFont="1">
      <alignment readingOrder="0" shrinkToFit="0" vertical="center" wrapText="1"/>
    </xf>
    <xf borderId="0" fillId="0" fontId="3" numFmtId="0" xfId="0" applyAlignment="1" applyFont="1">
      <alignment readingOrder="0" shrinkToFit="0" wrapText="1"/>
    </xf>
  </cellXfs>
  <cellStyles count="1">
    <cellStyle xfId="0" name="Normal" builtinId="0"/>
  </cellStyles>
  <dxfs count="7">
    <dxf>
      <font/>
      <fill>
        <patternFill patternType="solid">
          <fgColor rgb="FF00FF00"/>
          <bgColor rgb="FF00FF00"/>
        </patternFill>
      </fill>
      <border/>
    </dxf>
    <dxf>
      <font>
        <color rgb="FF000000"/>
      </font>
      <fill>
        <patternFill patternType="solid">
          <fgColor rgb="FFFF0000"/>
          <bgColor rgb="FFFF0000"/>
        </patternFill>
      </fill>
      <border/>
    </dxf>
    <dxf>
      <font/>
      <fill>
        <patternFill patternType="none"/>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ADUCTORES</a:t>
            </a:r>
          </a:p>
        </c:rich>
      </c:tx>
      <c:overlay val="0"/>
    </c:title>
    <c:plotArea>
      <c:layout/>
      <c:barChart>
        <c:barDir val="col"/>
        <c:ser>
          <c:idx val="0"/>
          <c:order val="0"/>
          <c:cat>
            <c:strRef>
              <c:f>Resultados!$B$145</c:f>
            </c:strRef>
          </c:cat>
          <c:val>
            <c:numRef>
              <c:f>Resultados!$C$145</c:f>
              <c:numCache/>
            </c:numRef>
          </c:val>
        </c:ser>
        <c:ser>
          <c:idx val="1"/>
          <c:order val="1"/>
          <c:cat>
            <c:strRef>
              <c:f>Resultados!$B$145</c:f>
            </c:strRef>
          </c:cat>
          <c:val>
            <c:numRef>
              <c:f>Resultados!$D$145</c:f>
              <c:numCache/>
            </c:numRef>
          </c:val>
        </c:ser>
        <c:axId val="984409365"/>
        <c:axId val="226910829"/>
      </c:barChart>
      <c:catAx>
        <c:axId val="984409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6910829"/>
      </c:catAx>
      <c:valAx>
        <c:axId val="226910829"/>
        <c:scaling>
          <c:orientation val="minMax"/>
        </c:scaling>
        <c:delete val="0"/>
        <c:axPos val="l"/>
        <c:tickLblPos val="nextTo"/>
        <c:spPr>
          <a:ln>
            <a:noFill/>
          </a:ln>
        </c:spPr>
        <c:crossAx val="98440936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MOVILIDAD ARTICULAR DE CADERA</a:t>
            </a:r>
          </a:p>
        </c:rich>
      </c:tx>
      <c:overlay val="0"/>
    </c:title>
    <c:plotArea>
      <c:layout/>
      <c:barChart>
        <c:barDir val="col"/>
        <c:ser>
          <c:idx val="0"/>
          <c:order val="0"/>
          <c:tx>
            <c:v>DERECHA</c:v>
          </c:tx>
          <c:spPr>
            <a:solidFill>
              <a:srgbClr val="0C343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Resultados!$C$19</c:f>
            </c:strRef>
          </c:cat>
          <c:val>
            <c:numRef>
              <c:f>Resultados!$D$19</c:f>
              <c:numCache/>
            </c:numRef>
          </c:val>
        </c:ser>
        <c:ser>
          <c:idx val="1"/>
          <c:order val="1"/>
          <c:tx>
            <c:v>IZQUIERDA</c:v>
          </c:tx>
          <c:spPr>
            <a:solidFill>
              <a:srgbClr val="B7B7B7"/>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Resultados!$C$19</c:f>
            </c:strRef>
          </c:cat>
          <c:val>
            <c:numRef>
              <c:f>Resultados!$E$19</c:f>
              <c:numCache/>
            </c:numRef>
          </c:val>
        </c:ser>
        <c:axId val="2104174498"/>
        <c:axId val="881008646"/>
      </c:barChart>
      <c:catAx>
        <c:axId val="2104174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1008646"/>
      </c:catAx>
      <c:valAx>
        <c:axId val="88100864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41744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ADUCTORES - ABDUCTORES</a:t>
            </a:r>
          </a:p>
        </c:rich>
      </c:tx>
      <c:overlay val="0"/>
    </c:title>
    <c:plotArea>
      <c:layout/>
      <c:barChart>
        <c:barDir val="col"/>
        <c:ser>
          <c:idx val="0"/>
          <c:order val="0"/>
          <c:cat>
            <c:strRef>
              <c:f>Resultados!$B$149</c:f>
            </c:strRef>
          </c:cat>
          <c:val>
            <c:numRef>
              <c:f>Resultados!$C$149</c:f>
              <c:numCache/>
            </c:numRef>
          </c:val>
        </c:ser>
        <c:ser>
          <c:idx val="1"/>
          <c:order val="1"/>
          <c:cat>
            <c:strRef>
              <c:f>Resultados!$B$149</c:f>
            </c:strRef>
          </c:cat>
          <c:val>
            <c:numRef>
              <c:f>Resultados!$D$149</c:f>
              <c:numCache/>
            </c:numRef>
          </c:val>
        </c:ser>
        <c:axId val="1253624194"/>
        <c:axId val="1738267026"/>
      </c:barChart>
      <c:catAx>
        <c:axId val="1253624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38267026"/>
      </c:catAx>
      <c:valAx>
        <c:axId val="1738267026"/>
        <c:scaling>
          <c:orientation val="minMax"/>
        </c:scaling>
        <c:delete val="0"/>
        <c:axPos val="l"/>
        <c:tickLblPos val="nextTo"/>
        <c:spPr>
          <a:ln>
            <a:noFill/>
          </a:ln>
        </c:spPr>
        <c:crossAx val="125362419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ABDUCTORES</a:t>
            </a:r>
          </a:p>
        </c:rich>
      </c:tx>
      <c:overlay val="0"/>
    </c:title>
    <c:plotArea>
      <c:layout/>
      <c:barChart>
        <c:barDir val="col"/>
        <c:ser>
          <c:idx val="0"/>
          <c:order val="0"/>
          <c:cat>
            <c:strRef>
              <c:f>Resultados!$B$147</c:f>
            </c:strRef>
          </c:cat>
          <c:val>
            <c:numRef>
              <c:f>Resultados!$C$147</c:f>
              <c:numCache/>
            </c:numRef>
          </c:val>
        </c:ser>
        <c:ser>
          <c:idx val="1"/>
          <c:order val="1"/>
          <c:cat>
            <c:strRef>
              <c:f>Resultados!$B$147</c:f>
            </c:strRef>
          </c:cat>
          <c:val>
            <c:numRef>
              <c:f>Resultados!$D$147</c:f>
              <c:numCache/>
            </c:numRef>
          </c:val>
        </c:ser>
        <c:axId val="1669468848"/>
        <c:axId val="358689250"/>
      </c:barChart>
      <c:catAx>
        <c:axId val="1669468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8689250"/>
      </c:catAx>
      <c:valAx>
        <c:axId val="358689250"/>
        <c:scaling>
          <c:orientation val="minMax"/>
        </c:scaling>
        <c:delete val="0"/>
        <c:axPos val="l"/>
        <c:tickLblPos val="nextTo"/>
        <c:spPr>
          <a:ln>
            <a:noFill/>
          </a:ln>
        </c:spPr>
        <c:crossAx val="166946884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FLEXIBILIDAD DE ADUCTORES</a:t>
            </a:r>
          </a:p>
        </c:rich>
      </c:tx>
      <c:overlay val="0"/>
    </c:title>
    <c:plotArea>
      <c:layout/>
      <c:barChart>
        <c:barDir val="col"/>
        <c:ser>
          <c:idx val="0"/>
          <c:order val="0"/>
          <c:cat>
            <c:strRef>
              <c:f>Resultados!$C$61:$C$64</c:f>
            </c:strRef>
          </c:cat>
          <c:val>
            <c:numRef>
              <c:f>Resultados!$D$61:$D$64</c:f>
              <c:numCache/>
            </c:numRef>
          </c:val>
        </c:ser>
        <c:ser>
          <c:idx val="1"/>
          <c:order val="1"/>
          <c:cat>
            <c:strRef>
              <c:f>Resultados!$C$61:$C$64</c:f>
            </c:strRef>
          </c:cat>
          <c:val>
            <c:numRef>
              <c:f>Resultados!$E$61:$E$64</c:f>
              <c:numCache/>
            </c:numRef>
          </c:val>
        </c:ser>
        <c:axId val="810502001"/>
        <c:axId val="941757097"/>
      </c:barChart>
      <c:catAx>
        <c:axId val="8105020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1757097"/>
      </c:catAx>
      <c:valAx>
        <c:axId val="941757097"/>
        <c:scaling>
          <c:orientation val="minMax"/>
        </c:scaling>
        <c:delete val="0"/>
        <c:axPos val="l"/>
        <c:tickLblPos val="nextTo"/>
        <c:spPr>
          <a:ln>
            <a:noFill/>
          </a:ln>
        </c:spPr>
        <c:crossAx val="81050200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MOVILIDAD ARTICULAR DE RODILLA</a:t>
            </a:r>
          </a:p>
        </c:rich>
      </c:tx>
      <c:overlay val="0"/>
    </c:title>
    <c:plotArea>
      <c:layout/>
      <c:barChart>
        <c:barDir val="col"/>
        <c:ser>
          <c:idx val="0"/>
          <c:order val="0"/>
          <c:cat>
            <c:strRef>
              <c:f>Resultados!$C$27:$C$29</c:f>
            </c:strRef>
          </c:cat>
          <c:val>
            <c:numRef>
              <c:f>Resultados!$D$27:$D$29</c:f>
              <c:numCache/>
            </c:numRef>
          </c:val>
        </c:ser>
        <c:ser>
          <c:idx val="1"/>
          <c:order val="1"/>
          <c:cat>
            <c:strRef>
              <c:f>Resultados!$C$27:$C$29</c:f>
            </c:strRef>
          </c:cat>
          <c:val>
            <c:numRef>
              <c:f>Resultados!$E$27:$E$29</c:f>
              <c:numCache/>
            </c:numRef>
          </c:val>
        </c:ser>
        <c:axId val="693308306"/>
        <c:axId val="195093872"/>
      </c:barChart>
      <c:catAx>
        <c:axId val="6933083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093872"/>
      </c:catAx>
      <c:valAx>
        <c:axId val="195093872"/>
        <c:scaling>
          <c:orientation val="minMax"/>
        </c:scaling>
        <c:delete val="0"/>
        <c:axPos val="l"/>
        <c:tickLblPos val="nextTo"/>
        <c:spPr>
          <a:ln>
            <a:noFill/>
          </a:ln>
        </c:spPr>
        <c:crossAx val="69330830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MOVILIDAD ARTICULAR DE TOBILLO</a:t>
            </a:r>
          </a:p>
        </c:rich>
      </c:tx>
      <c:overlay val="0"/>
    </c:title>
    <c:plotArea>
      <c:layout/>
      <c:barChart>
        <c:barDir val="col"/>
        <c:ser>
          <c:idx val="0"/>
          <c:order val="0"/>
          <c:cat>
            <c:strRef>
              <c:f>Resultados!$C$35</c:f>
            </c:strRef>
          </c:cat>
          <c:val>
            <c:numRef>
              <c:f>Resultados!$D$35</c:f>
              <c:numCache/>
            </c:numRef>
          </c:val>
        </c:ser>
        <c:ser>
          <c:idx val="1"/>
          <c:order val="1"/>
          <c:cat>
            <c:strRef>
              <c:f>Resultados!$C$35</c:f>
            </c:strRef>
          </c:cat>
          <c:val>
            <c:numRef>
              <c:f>Resultados!$E$35</c:f>
              <c:numCache/>
            </c:numRef>
          </c:val>
        </c:ser>
        <c:axId val="1663774107"/>
        <c:axId val="1018750805"/>
      </c:barChart>
      <c:catAx>
        <c:axId val="1663774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8750805"/>
      </c:catAx>
      <c:valAx>
        <c:axId val="1018750805"/>
        <c:scaling>
          <c:orientation val="minMax"/>
        </c:scaling>
        <c:delete val="0"/>
        <c:axPos val="l"/>
        <c:tickLblPos val="nextTo"/>
        <c:spPr>
          <a:ln>
            <a:noFill/>
          </a:ln>
        </c:spPr>
        <c:crossAx val="166377410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MOVILIDAD ARTICULAR DE HOMBRO</a:t>
            </a:r>
          </a:p>
        </c:rich>
      </c:tx>
      <c:overlay val="0"/>
    </c:title>
    <c:plotArea>
      <c:layout/>
      <c:barChart>
        <c:barDir val="col"/>
        <c:ser>
          <c:idx val="0"/>
          <c:order val="0"/>
          <c:tx>
            <c:v>DERECHA</c:v>
          </c:tx>
          <c:spPr>
            <a:solidFill>
              <a:srgbClr val="0C343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Resultados!$C$42</c:f>
            </c:strRef>
          </c:cat>
          <c:val>
            <c:numRef>
              <c:f>Resultados!$D$42</c:f>
              <c:numCache/>
            </c:numRef>
          </c:val>
        </c:ser>
        <c:ser>
          <c:idx val="1"/>
          <c:order val="1"/>
          <c:tx>
            <c:v>IZQUIERDA</c:v>
          </c:tx>
          <c:spPr>
            <a:solidFill>
              <a:srgbClr val="B7B7B7"/>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Resultados!$C$42</c:f>
            </c:strRef>
          </c:cat>
          <c:val>
            <c:numRef>
              <c:f>Resultados!$E$42</c:f>
              <c:numCache/>
            </c:numRef>
          </c:val>
        </c:ser>
        <c:axId val="599157308"/>
        <c:axId val="1083855633"/>
      </c:barChart>
      <c:catAx>
        <c:axId val="599157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3855633"/>
      </c:catAx>
      <c:valAx>
        <c:axId val="10838556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915730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FLEXIBILIDAD DE ISQUIOTIBIALES</a:t>
            </a:r>
          </a:p>
        </c:rich>
      </c:tx>
      <c:overlay val="0"/>
    </c:title>
    <c:plotArea>
      <c:layout/>
      <c:barChart>
        <c:barDir val="col"/>
        <c:ser>
          <c:idx val="0"/>
          <c:order val="0"/>
          <c:cat>
            <c:strRef>
              <c:f>Resultados!$C$59</c:f>
            </c:strRef>
          </c:cat>
          <c:val>
            <c:numRef>
              <c:f>Resultados!$D$59</c:f>
              <c:numCache/>
            </c:numRef>
          </c:val>
        </c:ser>
        <c:ser>
          <c:idx val="1"/>
          <c:order val="1"/>
          <c:cat>
            <c:strRef>
              <c:f>Resultados!$C$59</c:f>
            </c:strRef>
          </c:cat>
          <c:val>
            <c:numRef>
              <c:f>Resultados!$E$59</c:f>
              <c:numCache/>
            </c:numRef>
          </c:val>
        </c:ser>
        <c:axId val="7351652"/>
        <c:axId val="525849385"/>
      </c:barChart>
      <c:catAx>
        <c:axId val="73516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5849385"/>
      </c:catAx>
      <c:valAx>
        <c:axId val="525849385"/>
        <c:scaling>
          <c:orientation val="minMax"/>
        </c:scaling>
        <c:delete val="0"/>
        <c:axPos val="l"/>
        <c:tickLblPos val="nextTo"/>
        <c:spPr>
          <a:ln>
            <a:noFill/>
          </a:ln>
        </c:spPr>
        <c:crossAx val="735165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Y BALANCE TEST</a:t>
            </a:r>
          </a:p>
        </c:rich>
      </c:tx>
      <c:overlay val="0"/>
    </c:title>
    <c:plotArea>
      <c:layout/>
      <c:barChart>
        <c:barDir val="col"/>
        <c:ser>
          <c:idx val="0"/>
          <c:order val="0"/>
          <c:cat>
            <c:strRef>
              <c:f>Resultados!$C$89:$C$92</c:f>
            </c:strRef>
          </c:cat>
          <c:val>
            <c:numRef>
              <c:f>Resultados!$D$89:$D$92</c:f>
              <c:numCache/>
            </c:numRef>
          </c:val>
        </c:ser>
        <c:ser>
          <c:idx val="1"/>
          <c:order val="1"/>
          <c:cat>
            <c:strRef>
              <c:f>Resultados!$C$89:$C$92</c:f>
            </c:strRef>
          </c:cat>
          <c:val>
            <c:numRef>
              <c:f>Resultados!$E$89:$E$92</c:f>
              <c:numCache/>
            </c:numRef>
          </c:val>
        </c:ser>
        <c:axId val="2113190048"/>
        <c:axId val="2041633258"/>
      </c:barChart>
      <c:catAx>
        <c:axId val="2113190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1633258"/>
      </c:catAx>
      <c:valAx>
        <c:axId val="2041633258"/>
        <c:scaling>
          <c:orientation val="minMax"/>
        </c:scaling>
        <c:delete val="0"/>
        <c:axPos val="l"/>
        <c:tickLblPos val="nextTo"/>
        <c:spPr>
          <a:ln>
            <a:noFill/>
          </a:ln>
        </c:spPr>
        <c:crossAx val="2113190048"/>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TEST DE MC GILL</a:t>
            </a:r>
          </a:p>
        </c:rich>
      </c:tx>
      <c:overlay val="0"/>
    </c:title>
    <c:plotArea>
      <c:layout/>
      <c:barChart>
        <c:barDir val="col"/>
        <c:ser>
          <c:idx val="0"/>
          <c:order val="0"/>
          <c:cat>
            <c:strRef>
              <c:f>Resultados!$C$109</c:f>
            </c:strRef>
          </c:cat>
          <c:val>
            <c:numRef>
              <c:f>Resultados!$D$109</c:f>
              <c:numCache/>
            </c:numRef>
          </c:val>
        </c:ser>
        <c:ser>
          <c:idx val="1"/>
          <c:order val="1"/>
          <c:cat>
            <c:strRef>
              <c:f>Resultados!$C$109</c:f>
            </c:strRef>
          </c:cat>
          <c:val>
            <c:numRef>
              <c:f>Resultados!$E$109</c:f>
              <c:numCache/>
            </c:numRef>
          </c:val>
        </c:ser>
        <c:axId val="420882895"/>
        <c:axId val="137196627"/>
      </c:barChart>
      <c:catAx>
        <c:axId val="420882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196627"/>
      </c:catAx>
      <c:valAx>
        <c:axId val="137196627"/>
        <c:scaling>
          <c:orientation val="minMax"/>
        </c:scaling>
        <c:delete val="0"/>
        <c:axPos val="l"/>
        <c:tickLblPos val="nextTo"/>
        <c:spPr>
          <a:ln>
            <a:noFill/>
          </a:ln>
        </c:spPr>
        <c:crossAx val="42088289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TEST DE MC GILL</a:t>
            </a:r>
          </a:p>
        </c:rich>
      </c:tx>
      <c:overlay val="0"/>
    </c:title>
    <c:plotArea>
      <c:layout/>
      <c:barChart>
        <c:barDir val="col"/>
        <c:ser>
          <c:idx val="0"/>
          <c:order val="0"/>
          <c:cat>
            <c:strRef>
              <c:f>Resultados!$C$110:$C$111</c:f>
            </c:strRef>
          </c:cat>
          <c:val>
            <c:numRef>
              <c:f>Resultados!$D$110:$D$111</c:f>
              <c:numCache/>
            </c:numRef>
          </c:val>
        </c:ser>
        <c:ser>
          <c:idx val="1"/>
          <c:order val="1"/>
          <c:cat>
            <c:strRef>
              <c:f>Resultados!$C$110:$C$111</c:f>
            </c:strRef>
          </c:cat>
          <c:val>
            <c:numRef>
              <c:f>Resultados!$E$110:$E$111</c:f>
              <c:numCache/>
            </c:numRef>
          </c:val>
        </c:ser>
        <c:axId val="861403248"/>
        <c:axId val="762451387"/>
      </c:barChart>
      <c:catAx>
        <c:axId val="861403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62451387"/>
      </c:catAx>
      <c:valAx>
        <c:axId val="762451387"/>
        <c:scaling>
          <c:orientation val="minMax"/>
        </c:scaling>
        <c:delete val="0"/>
        <c:axPos val="l"/>
        <c:tickLblPos val="nextTo"/>
        <c:spPr>
          <a:ln>
            <a:noFill/>
          </a:ln>
        </c:spPr>
        <c:crossAx val="861403248"/>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GLÚTEO</a:t>
            </a:r>
          </a:p>
        </c:rich>
      </c:tx>
      <c:overlay val="0"/>
    </c:title>
    <c:plotArea>
      <c:layout/>
      <c:barChart>
        <c:barDir val="col"/>
        <c:ser>
          <c:idx val="0"/>
          <c:order val="0"/>
          <c:cat>
            <c:strRef>
              <c:f>Resultados!$C$113</c:f>
            </c:strRef>
          </c:cat>
          <c:val>
            <c:numRef>
              <c:f>Resultados!$D$113</c:f>
              <c:numCache/>
            </c:numRef>
          </c:val>
        </c:ser>
        <c:ser>
          <c:idx val="1"/>
          <c:order val="1"/>
          <c:cat>
            <c:strRef>
              <c:f>Resultados!$C$113</c:f>
            </c:strRef>
          </c:cat>
          <c:val>
            <c:numRef>
              <c:f>Resultados!$E$113</c:f>
              <c:numCache/>
            </c:numRef>
          </c:val>
        </c:ser>
        <c:axId val="2124421366"/>
        <c:axId val="2134156145"/>
      </c:barChart>
      <c:catAx>
        <c:axId val="2124421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4156145"/>
      </c:catAx>
      <c:valAx>
        <c:axId val="2134156145"/>
        <c:scaling>
          <c:orientation val="minMax"/>
        </c:scaling>
        <c:delete val="0"/>
        <c:axPos val="l"/>
        <c:tickLblPos val="nextTo"/>
        <c:spPr>
          <a:ln>
            <a:noFill/>
          </a:ln>
        </c:spPr>
        <c:crossAx val="212442136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GEMELO</a:t>
            </a:r>
          </a:p>
        </c:rich>
      </c:tx>
      <c:overlay val="0"/>
    </c:title>
    <c:plotArea>
      <c:layout/>
      <c:barChart>
        <c:barDir val="col"/>
        <c:ser>
          <c:idx val="0"/>
          <c:order val="0"/>
          <c:cat>
            <c:strRef>
              <c:f>Resultados!$C$115</c:f>
            </c:strRef>
          </c:cat>
          <c:val>
            <c:numRef>
              <c:f>Resultados!$D$115</c:f>
              <c:numCache/>
            </c:numRef>
          </c:val>
        </c:ser>
        <c:ser>
          <c:idx val="1"/>
          <c:order val="1"/>
          <c:cat>
            <c:strRef>
              <c:f>Resultados!$C$115</c:f>
            </c:strRef>
          </c:cat>
          <c:val>
            <c:numRef>
              <c:f>Resultados!$E$115</c:f>
              <c:numCache/>
            </c:numRef>
          </c:val>
        </c:ser>
        <c:axId val="1411620112"/>
        <c:axId val="639463477"/>
      </c:barChart>
      <c:catAx>
        <c:axId val="1411620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9463477"/>
      </c:catAx>
      <c:valAx>
        <c:axId val="639463477"/>
        <c:scaling>
          <c:orientation val="minMax"/>
        </c:scaling>
        <c:delete val="0"/>
        <c:axPos val="l"/>
        <c:tickLblPos val="nextTo"/>
        <c:spPr>
          <a:ln>
            <a:noFill/>
          </a:ln>
        </c:spPr>
        <c:crossAx val="141162011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CUÁDRICEPS</a:t>
            </a:r>
          </a:p>
        </c:rich>
      </c:tx>
      <c:overlay val="0"/>
    </c:title>
    <c:plotArea>
      <c:layout/>
      <c:barChart>
        <c:barDir val="col"/>
        <c:ser>
          <c:idx val="0"/>
          <c:order val="0"/>
          <c:cat>
            <c:strRef>
              <c:f>Resultados!$C$117</c:f>
            </c:strRef>
          </c:cat>
          <c:val>
            <c:numRef>
              <c:f>Resultados!$D$117</c:f>
              <c:numCache/>
            </c:numRef>
          </c:val>
        </c:ser>
        <c:ser>
          <c:idx val="1"/>
          <c:order val="1"/>
          <c:cat>
            <c:strRef>
              <c:f>Resultados!$C$117</c:f>
            </c:strRef>
          </c:cat>
          <c:val>
            <c:numRef>
              <c:f>Resultados!$E$117</c:f>
              <c:numCache/>
            </c:numRef>
          </c:val>
        </c:ser>
        <c:axId val="192215392"/>
        <c:axId val="431585425"/>
      </c:barChart>
      <c:catAx>
        <c:axId val="192215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31585425"/>
      </c:catAx>
      <c:valAx>
        <c:axId val="431585425"/>
        <c:scaling>
          <c:orientation val="minMax"/>
        </c:scaling>
        <c:delete val="0"/>
        <c:axPos val="l"/>
        <c:tickLblPos val="nextTo"/>
        <c:spPr>
          <a:ln>
            <a:noFill/>
          </a:ln>
        </c:spPr>
        <c:crossAx val="19221539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FUERZA DE EMPUJE</a:t>
            </a:r>
          </a:p>
        </c:rich>
      </c:tx>
      <c:overlay val="0"/>
    </c:title>
    <c:plotArea>
      <c:layout/>
      <c:barChart>
        <c:barDir val="col"/>
        <c:ser>
          <c:idx val="0"/>
          <c:order val="0"/>
          <c:cat>
            <c:strRef>
              <c:f>Resultados!$C$129</c:f>
            </c:strRef>
          </c:cat>
          <c:val>
            <c:numRef>
              <c:f>Resultados!$D$129</c:f>
              <c:numCache/>
            </c:numRef>
          </c:val>
        </c:ser>
        <c:ser>
          <c:idx val="1"/>
          <c:order val="1"/>
          <c:cat>
            <c:strRef>
              <c:f>Resultados!$C$129</c:f>
            </c:strRef>
          </c:cat>
          <c:val>
            <c:numRef>
              <c:f>Resultados!$E$129</c:f>
              <c:numCache/>
            </c:numRef>
          </c:val>
        </c:ser>
        <c:axId val="1993175893"/>
        <c:axId val="1857426926"/>
      </c:barChart>
      <c:catAx>
        <c:axId val="19931758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7426926"/>
      </c:catAx>
      <c:valAx>
        <c:axId val="1857426926"/>
        <c:scaling>
          <c:orientation val="minMax"/>
        </c:scaling>
        <c:delete val="0"/>
        <c:axPos val="l"/>
        <c:tickLblPos val="nextTo"/>
        <c:spPr>
          <a:ln>
            <a:noFill/>
          </a:ln>
        </c:spPr>
        <c:crossAx val="199317589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FUERZA DE EMPUJE</a:t>
            </a:r>
          </a:p>
        </c:rich>
      </c:tx>
      <c:overlay val="0"/>
    </c:title>
    <c:plotArea>
      <c:layout/>
      <c:barChart>
        <c:barDir val="col"/>
        <c:ser>
          <c:idx val="0"/>
          <c:order val="0"/>
          <c:cat>
            <c:strRef>
              <c:f>Resultados!$C$131</c:f>
            </c:strRef>
          </c:cat>
          <c:val>
            <c:numRef>
              <c:f>Resultados!$D$131</c:f>
              <c:numCache/>
            </c:numRef>
          </c:val>
        </c:ser>
        <c:ser>
          <c:idx val="1"/>
          <c:order val="1"/>
          <c:cat>
            <c:strRef>
              <c:f>Resultados!$C$131</c:f>
            </c:strRef>
          </c:cat>
          <c:val>
            <c:numRef>
              <c:f>Resultados!$E$131</c:f>
              <c:numCache/>
            </c:numRef>
          </c:val>
        </c:ser>
        <c:axId val="413615220"/>
        <c:axId val="1677689907"/>
      </c:barChart>
      <c:catAx>
        <c:axId val="413615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7689907"/>
      </c:catAx>
      <c:valAx>
        <c:axId val="1677689907"/>
        <c:scaling>
          <c:orientation val="minMax"/>
        </c:scaling>
        <c:delete val="0"/>
        <c:axPos val="l"/>
        <c:tickLblPos val="nextTo"/>
        <c:spPr>
          <a:ln>
            <a:noFill/>
          </a:ln>
        </c:spPr>
        <c:crossAx val="41361522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FUERZA DE TRACCIÓN</a:t>
            </a:r>
          </a:p>
        </c:rich>
      </c:tx>
      <c:overlay val="0"/>
    </c:title>
    <c:plotArea>
      <c:layout/>
      <c:barChart>
        <c:barDir val="col"/>
        <c:ser>
          <c:idx val="0"/>
          <c:order val="0"/>
          <c:cat>
            <c:strRef>
              <c:f>Resultados!$C$133</c:f>
            </c:strRef>
          </c:cat>
          <c:val>
            <c:numRef>
              <c:f>Resultados!$D$133</c:f>
              <c:numCache/>
            </c:numRef>
          </c:val>
        </c:ser>
        <c:ser>
          <c:idx val="1"/>
          <c:order val="1"/>
          <c:cat>
            <c:strRef>
              <c:f>Resultados!$C$133</c:f>
            </c:strRef>
          </c:cat>
          <c:val>
            <c:numRef>
              <c:f>Resultados!$E$133</c:f>
              <c:numCache/>
            </c:numRef>
          </c:val>
        </c:ser>
        <c:axId val="1984186321"/>
        <c:axId val="921217446"/>
      </c:barChart>
      <c:catAx>
        <c:axId val="1984186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1217446"/>
      </c:catAx>
      <c:valAx>
        <c:axId val="921217446"/>
        <c:scaling>
          <c:orientation val="minMax"/>
        </c:scaling>
        <c:delete val="0"/>
        <c:axPos val="l"/>
        <c:tickLblPos val="nextTo"/>
        <c:spPr>
          <a:ln>
            <a:noFill/>
          </a:ln>
        </c:spPr>
        <c:crossAx val="198418632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FLEXORES DE CADERA</a:t>
            </a:r>
          </a:p>
        </c:rich>
      </c:tx>
      <c:overlay val="0"/>
    </c:title>
    <c:plotArea>
      <c:layout/>
      <c:barChart>
        <c:barDir val="col"/>
        <c:ser>
          <c:idx val="0"/>
          <c:order val="0"/>
          <c:cat>
            <c:strRef>
              <c:f>Resultados!$B$139</c:f>
            </c:strRef>
          </c:cat>
          <c:val>
            <c:numRef>
              <c:f>Resultados!$C$139</c:f>
              <c:numCache/>
            </c:numRef>
          </c:val>
        </c:ser>
        <c:ser>
          <c:idx val="1"/>
          <c:order val="1"/>
          <c:cat>
            <c:strRef>
              <c:f>Resultados!$B$139</c:f>
            </c:strRef>
          </c:cat>
          <c:val>
            <c:numRef>
              <c:f>Resultados!$D$139</c:f>
              <c:numCache/>
            </c:numRef>
          </c:val>
        </c:ser>
        <c:axId val="27527730"/>
        <c:axId val="558921202"/>
      </c:barChart>
      <c:catAx>
        <c:axId val="27527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58921202"/>
      </c:catAx>
      <c:valAx>
        <c:axId val="558921202"/>
        <c:scaling>
          <c:orientation val="minMax"/>
        </c:scaling>
        <c:delete val="0"/>
        <c:axPos val="l"/>
        <c:tickLblPos val="nextTo"/>
        <c:spPr>
          <a:ln>
            <a:noFill/>
          </a:ln>
        </c:spPr>
        <c:crossAx val="27527730"/>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FLEXORES DE CADERA</a:t>
            </a:r>
          </a:p>
        </c:rich>
      </c:tx>
      <c:overlay val="0"/>
    </c:title>
    <c:plotArea>
      <c:layout/>
      <c:barChart>
        <c:barDir val="col"/>
        <c:ser>
          <c:idx val="0"/>
          <c:order val="0"/>
          <c:cat>
            <c:strRef>
              <c:f>Resultados!$B$141</c:f>
            </c:strRef>
          </c:cat>
          <c:val>
            <c:numRef>
              <c:f>Resultados!$C$141</c:f>
              <c:numCache/>
            </c:numRef>
          </c:val>
        </c:ser>
        <c:ser>
          <c:idx val="1"/>
          <c:order val="1"/>
          <c:cat>
            <c:strRef>
              <c:f>Resultados!$B$141</c:f>
            </c:strRef>
          </c:cat>
          <c:val>
            <c:numRef>
              <c:f>Resultados!$D$141</c:f>
              <c:numCache/>
            </c:numRef>
          </c:val>
        </c:ser>
        <c:axId val="758426357"/>
        <c:axId val="1361534890"/>
      </c:barChart>
      <c:catAx>
        <c:axId val="7584263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1534890"/>
      </c:catAx>
      <c:valAx>
        <c:axId val="1361534890"/>
        <c:scaling>
          <c:orientation val="minMax"/>
        </c:scaling>
        <c:delete val="0"/>
        <c:axPos val="l"/>
        <c:tickLblPos val="nextTo"/>
        <c:spPr>
          <a:ln>
            <a:noFill/>
          </a:ln>
        </c:spPr>
        <c:crossAx val="758426357"/>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ADUCTORES</a:t>
            </a:r>
          </a:p>
        </c:rich>
      </c:tx>
      <c:overlay val="0"/>
    </c:title>
    <c:plotArea>
      <c:layout/>
      <c:barChart>
        <c:barDir val="col"/>
        <c:ser>
          <c:idx val="0"/>
          <c:order val="0"/>
          <c:cat>
            <c:strRef>
              <c:f>Resultados!$B$143</c:f>
            </c:strRef>
          </c:cat>
          <c:val>
            <c:numRef>
              <c:f>Resultados!$C$143</c:f>
              <c:numCache/>
            </c:numRef>
          </c:val>
        </c:ser>
        <c:ser>
          <c:idx val="1"/>
          <c:order val="1"/>
          <c:cat>
            <c:strRef>
              <c:f>Resultados!$B$143</c:f>
            </c:strRef>
          </c:cat>
          <c:val>
            <c:numRef>
              <c:f>Resultados!$D$143</c:f>
              <c:numCache/>
            </c:numRef>
          </c:val>
        </c:ser>
        <c:axId val="834208801"/>
        <c:axId val="34734772"/>
      </c:barChart>
      <c:catAx>
        <c:axId val="8342088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734772"/>
      </c:catAx>
      <c:valAx>
        <c:axId val="34734772"/>
        <c:scaling>
          <c:orientation val="minMax"/>
        </c:scaling>
        <c:delete val="0"/>
        <c:axPos val="l"/>
        <c:tickLblPos val="nextTo"/>
        <c:spPr>
          <a:ln>
            <a:noFill/>
          </a:ln>
        </c:spPr>
        <c:crossAx val="83420880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CUÁDRICEPS</a:t>
            </a:r>
          </a:p>
        </c:rich>
      </c:tx>
      <c:overlay val="0"/>
    </c:title>
    <c:plotArea>
      <c:layout/>
      <c:barChart>
        <c:barDir val="col"/>
        <c:ser>
          <c:idx val="0"/>
          <c:order val="0"/>
          <c:cat>
            <c:strRef>
              <c:f>Resultados!$B$162</c:f>
            </c:strRef>
          </c:cat>
          <c:val>
            <c:numRef>
              <c:f>Resultados!$C$162</c:f>
              <c:numCache/>
            </c:numRef>
          </c:val>
        </c:ser>
        <c:ser>
          <c:idx val="1"/>
          <c:order val="1"/>
          <c:cat>
            <c:strRef>
              <c:f>Resultados!$B$162</c:f>
            </c:strRef>
          </c:cat>
          <c:val>
            <c:numRef>
              <c:f>Resultados!$D$162</c:f>
              <c:numCache/>
            </c:numRef>
          </c:val>
        </c:ser>
        <c:axId val="1899940902"/>
        <c:axId val="1030044255"/>
      </c:barChart>
      <c:catAx>
        <c:axId val="1899940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0044255"/>
      </c:catAx>
      <c:valAx>
        <c:axId val="1030044255"/>
        <c:scaling>
          <c:orientation val="minMax"/>
        </c:scaling>
        <c:delete val="0"/>
        <c:axPos val="l"/>
        <c:tickLblPos val="nextTo"/>
        <c:spPr>
          <a:ln>
            <a:noFill/>
          </a:ln>
        </c:spPr>
        <c:crossAx val="1899940902"/>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ISQUIOTIBIALES</a:t>
            </a:r>
          </a:p>
        </c:rich>
      </c:tx>
      <c:overlay val="0"/>
    </c:title>
    <c:plotArea>
      <c:layout/>
      <c:barChart>
        <c:barDir val="col"/>
        <c:ser>
          <c:idx val="0"/>
          <c:order val="0"/>
          <c:cat>
            <c:strRef>
              <c:f>Resultados!$B$164</c:f>
            </c:strRef>
          </c:cat>
          <c:val>
            <c:numRef>
              <c:f>Resultados!$C$164</c:f>
              <c:numCache/>
            </c:numRef>
          </c:val>
        </c:ser>
        <c:ser>
          <c:idx val="1"/>
          <c:order val="1"/>
          <c:cat>
            <c:strRef>
              <c:f>Resultados!$B$164</c:f>
            </c:strRef>
          </c:cat>
          <c:val>
            <c:numRef>
              <c:f>Resultados!$D$164</c:f>
              <c:numCache/>
            </c:numRef>
          </c:val>
        </c:ser>
        <c:axId val="1158884608"/>
        <c:axId val="716905284"/>
      </c:barChart>
      <c:catAx>
        <c:axId val="1158884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6905284"/>
      </c:catAx>
      <c:valAx>
        <c:axId val="716905284"/>
        <c:scaling>
          <c:orientation val="minMax"/>
        </c:scaling>
        <c:delete val="0"/>
        <c:axPos val="l"/>
        <c:tickLblPos val="nextTo"/>
        <c:spPr>
          <a:ln>
            <a:noFill/>
          </a:ln>
        </c:spPr>
        <c:crossAx val="1158884608"/>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RELACIÓN I/Q</a:t>
            </a:r>
          </a:p>
        </c:rich>
      </c:tx>
      <c:overlay val="0"/>
    </c:title>
    <c:plotArea>
      <c:layout/>
      <c:barChart>
        <c:barDir val="col"/>
        <c:ser>
          <c:idx val="0"/>
          <c:order val="0"/>
          <c:val>
            <c:numRef>
              <c:f>#REF!</c:f>
              <c:numCache/>
            </c:numRef>
          </c:val>
        </c:ser>
        <c:ser>
          <c:idx val="1"/>
          <c:order val="1"/>
          <c:val>
            <c:numRef>
              <c:f>#REF!</c:f>
              <c:numCache/>
            </c:numRef>
          </c:val>
        </c:ser>
        <c:ser>
          <c:idx val="2"/>
          <c:order val="2"/>
          <c:val>
            <c:numRef>
              <c:f>#REF!</c:f>
              <c:numCache/>
            </c:numRef>
          </c:val>
        </c:ser>
        <c:axId val="1175132549"/>
        <c:axId val="586155102"/>
      </c:barChart>
      <c:catAx>
        <c:axId val="11751325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86155102"/>
      </c:catAx>
      <c:valAx>
        <c:axId val="586155102"/>
        <c:scaling>
          <c:orientation val="minMax"/>
        </c:scaling>
        <c:delete val="0"/>
        <c:axPos val="l"/>
        <c:tickLblPos val="nextTo"/>
        <c:spPr>
          <a:ln>
            <a:noFill/>
          </a:ln>
        </c:spPr>
        <c:crossAx val="1175132549"/>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TRÍCEPS SURAL</a:t>
            </a:r>
          </a:p>
        </c:rich>
      </c:tx>
      <c:overlay val="0"/>
    </c:title>
    <c:plotArea>
      <c:layout/>
      <c:barChart>
        <c:barDir val="col"/>
        <c:ser>
          <c:idx val="0"/>
          <c:order val="0"/>
          <c:cat>
            <c:strRef>
              <c:f>Resultados!$B$172</c:f>
            </c:strRef>
          </c:cat>
          <c:val>
            <c:numRef>
              <c:f>Resultados!$C$172</c:f>
              <c:numCache/>
            </c:numRef>
          </c:val>
        </c:ser>
        <c:ser>
          <c:idx val="1"/>
          <c:order val="1"/>
          <c:cat>
            <c:strRef>
              <c:f>Resultados!$B$172</c:f>
            </c:strRef>
          </c:cat>
          <c:val>
            <c:numRef>
              <c:f>Resultados!$D$172</c:f>
              <c:numCache/>
            </c:numRef>
          </c:val>
        </c:ser>
        <c:axId val="226310701"/>
        <c:axId val="940974522"/>
      </c:barChart>
      <c:catAx>
        <c:axId val="226310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40974522"/>
      </c:catAx>
      <c:valAx>
        <c:axId val="940974522"/>
        <c:scaling>
          <c:orientation val="minMax"/>
        </c:scaling>
        <c:delete val="0"/>
        <c:axPos val="l"/>
        <c:tickLblPos val="nextTo"/>
        <c:spPr>
          <a:ln>
            <a:noFill/>
          </a:ln>
        </c:spPr>
        <c:crossAx val="226310701"/>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ABDUCTORES</a:t>
            </a:r>
          </a:p>
        </c:rich>
      </c:tx>
      <c:overlay val="0"/>
    </c:title>
    <c:plotArea>
      <c:layout/>
      <c:barChart>
        <c:barDir val="col"/>
        <c:ser>
          <c:idx val="0"/>
          <c:order val="0"/>
          <c:cat>
            <c:strRef>
              <c:f>Resultados!$B$174</c:f>
            </c:strRef>
          </c:cat>
          <c:val>
            <c:numRef>
              <c:f>Resultados!$C$174</c:f>
              <c:numCache/>
            </c:numRef>
          </c:val>
        </c:ser>
        <c:ser>
          <c:idx val="1"/>
          <c:order val="1"/>
          <c:cat>
            <c:strRef>
              <c:f>Resultados!$B$174</c:f>
            </c:strRef>
          </c:cat>
          <c:val>
            <c:numRef>
              <c:f>Resultados!$D$174</c:f>
              <c:numCache/>
            </c:numRef>
          </c:val>
        </c:ser>
        <c:axId val="1913468982"/>
        <c:axId val="1117203828"/>
      </c:barChart>
      <c:catAx>
        <c:axId val="1913468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7203828"/>
      </c:catAx>
      <c:valAx>
        <c:axId val="1117203828"/>
        <c:scaling>
          <c:orientation val="minMax"/>
        </c:scaling>
        <c:delete val="0"/>
        <c:axPos val="l"/>
        <c:tickLblPos val="nextTo"/>
        <c:spPr>
          <a:ln>
            <a:noFill/>
          </a:ln>
        </c:spPr>
        <c:crossAx val="1913468982"/>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ADUCTORES</a:t>
            </a:r>
          </a:p>
        </c:rich>
      </c:tx>
      <c:overlay val="0"/>
    </c:title>
    <c:plotArea>
      <c:layout/>
      <c:barChart>
        <c:barDir val="col"/>
        <c:ser>
          <c:idx val="0"/>
          <c:order val="0"/>
          <c:cat>
            <c:strRef>
              <c:f>Resultados!$B$176</c:f>
            </c:strRef>
          </c:cat>
          <c:val>
            <c:numRef>
              <c:f>Resultados!$C$176</c:f>
              <c:numCache/>
            </c:numRef>
          </c:val>
        </c:ser>
        <c:ser>
          <c:idx val="1"/>
          <c:order val="1"/>
          <c:cat>
            <c:strRef>
              <c:f>Resultados!$B$176</c:f>
            </c:strRef>
          </c:cat>
          <c:val>
            <c:numRef>
              <c:f>Resultados!$D$176</c:f>
              <c:numCache/>
            </c:numRef>
          </c:val>
        </c:ser>
        <c:axId val="1948007111"/>
        <c:axId val="559042391"/>
      </c:barChart>
      <c:catAx>
        <c:axId val="19480071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59042391"/>
      </c:catAx>
      <c:valAx>
        <c:axId val="559042391"/>
        <c:scaling>
          <c:orientation val="minMax"/>
        </c:scaling>
        <c:delete val="0"/>
        <c:axPos val="l"/>
        <c:tickLblPos val="nextTo"/>
        <c:spPr>
          <a:ln>
            <a:noFill/>
          </a:ln>
        </c:spPr>
        <c:crossAx val="1948007111"/>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TIRON DE MEDIO MUSLO</a:t>
            </a:r>
          </a:p>
        </c:rich>
      </c:tx>
      <c:overlay val="0"/>
    </c:title>
    <c:plotArea>
      <c:layout/>
      <c:barChart>
        <c:barDir val="col"/>
        <c:ser>
          <c:idx val="0"/>
          <c:order val="0"/>
          <c:cat>
            <c:strRef>
              <c:f>Resultados!$C$187</c:f>
            </c:strRef>
          </c:cat>
          <c:val>
            <c:numRef>
              <c:f>Resultados!$D$187</c:f>
              <c:numCache/>
            </c:numRef>
          </c:val>
        </c:ser>
        <c:ser>
          <c:idx val="1"/>
          <c:order val="1"/>
          <c:cat>
            <c:strRef>
              <c:f>Resultados!$C$187</c:f>
            </c:strRef>
          </c:cat>
          <c:val>
            <c:numRef>
              <c:f>Resultados!$E$187</c:f>
              <c:numCache/>
            </c:numRef>
          </c:val>
        </c:ser>
        <c:axId val="892170052"/>
        <c:axId val="454343638"/>
      </c:barChart>
      <c:catAx>
        <c:axId val="892170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4343638"/>
      </c:catAx>
      <c:valAx>
        <c:axId val="454343638"/>
        <c:scaling>
          <c:orientation val="minMax"/>
        </c:scaling>
        <c:delete val="0"/>
        <c:axPos val="l"/>
        <c:tickLblPos val="nextTo"/>
        <c:spPr>
          <a:ln>
            <a:noFill/>
          </a:ln>
        </c:spPr>
        <c:crossAx val="892170052"/>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ROTADORES INTERNOS</a:t>
            </a:r>
          </a:p>
        </c:rich>
      </c:tx>
      <c:overlay val="0"/>
    </c:title>
    <c:plotArea>
      <c:layout/>
      <c:barChart>
        <c:barDir val="col"/>
        <c:ser>
          <c:idx val="0"/>
          <c:order val="0"/>
          <c:cat>
            <c:strRef>
              <c:f>Resultados!$B$192</c:f>
            </c:strRef>
          </c:cat>
          <c:val>
            <c:numRef>
              <c:f>Resultados!$C$192</c:f>
              <c:numCache/>
            </c:numRef>
          </c:val>
        </c:ser>
        <c:ser>
          <c:idx val="1"/>
          <c:order val="1"/>
          <c:cat>
            <c:strRef>
              <c:f>Resultados!$B$192</c:f>
            </c:strRef>
          </c:cat>
          <c:val>
            <c:numRef>
              <c:f>Resultados!$D$192</c:f>
              <c:numCache/>
            </c:numRef>
          </c:val>
        </c:ser>
        <c:axId val="1348131484"/>
        <c:axId val="633334687"/>
      </c:barChart>
      <c:catAx>
        <c:axId val="1348131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3334687"/>
      </c:catAx>
      <c:valAx>
        <c:axId val="633334687"/>
        <c:scaling>
          <c:orientation val="minMax"/>
        </c:scaling>
        <c:delete val="0"/>
        <c:axPos val="l"/>
        <c:tickLblPos val="nextTo"/>
        <c:spPr>
          <a:ln>
            <a:noFill/>
          </a:ln>
        </c:spPr>
        <c:crossAx val="1348131484"/>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ROTADORES EXTERNOS</a:t>
            </a:r>
          </a:p>
        </c:rich>
      </c:tx>
      <c:overlay val="0"/>
    </c:title>
    <c:plotArea>
      <c:layout/>
      <c:barChart>
        <c:barDir val="col"/>
        <c:ser>
          <c:idx val="0"/>
          <c:order val="0"/>
          <c:cat>
            <c:strRef>
              <c:f>Resultados!$B$194</c:f>
            </c:strRef>
          </c:cat>
          <c:val>
            <c:numRef>
              <c:f>Resultados!$C$194</c:f>
              <c:numCache/>
            </c:numRef>
          </c:val>
        </c:ser>
        <c:ser>
          <c:idx val="1"/>
          <c:order val="1"/>
          <c:cat>
            <c:strRef>
              <c:f>Resultados!$B$194</c:f>
            </c:strRef>
          </c:cat>
          <c:val>
            <c:numRef>
              <c:f>Resultados!$D$194</c:f>
              <c:numCache/>
            </c:numRef>
          </c:val>
        </c:ser>
        <c:axId val="435764801"/>
        <c:axId val="1024148259"/>
      </c:barChart>
      <c:catAx>
        <c:axId val="4357648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4148259"/>
      </c:catAx>
      <c:valAx>
        <c:axId val="1024148259"/>
        <c:scaling>
          <c:orientation val="minMax"/>
        </c:scaling>
        <c:delete val="0"/>
        <c:axPos val="l"/>
        <c:tickLblPos val="nextTo"/>
        <c:spPr>
          <a:ln>
            <a:noFill/>
          </a:ln>
        </c:spPr>
        <c:crossAx val="435764801"/>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RELACIÓN RI/RE</a:t>
            </a:r>
          </a:p>
        </c:rich>
      </c:tx>
      <c:overlay val="0"/>
    </c:title>
    <c:plotArea>
      <c:layout/>
      <c:barChart>
        <c:barDir val="col"/>
        <c:ser>
          <c:idx val="0"/>
          <c:order val="0"/>
          <c:cat>
            <c:strRef>
              <c:f>Resultados!$B$196</c:f>
            </c:strRef>
          </c:cat>
          <c:val>
            <c:numRef>
              <c:f>Resultados!$C$196</c:f>
              <c:numCache/>
            </c:numRef>
          </c:val>
        </c:ser>
        <c:ser>
          <c:idx val="1"/>
          <c:order val="1"/>
          <c:cat>
            <c:strRef>
              <c:f>Resultados!$B$196</c:f>
            </c:strRef>
          </c:cat>
          <c:val>
            <c:numRef>
              <c:f>Resultados!$D$196</c:f>
              <c:numCache/>
            </c:numRef>
          </c:val>
        </c:ser>
        <c:axId val="2022508268"/>
        <c:axId val="822419690"/>
      </c:barChart>
      <c:catAx>
        <c:axId val="2022508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2419690"/>
      </c:catAx>
      <c:valAx>
        <c:axId val="822419690"/>
        <c:scaling>
          <c:orientation val="minMax"/>
        </c:scaling>
        <c:delete val="0"/>
        <c:axPos val="l"/>
        <c:tickLblPos val="nextTo"/>
        <c:spPr>
          <a:ln>
            <a:noFill/>
          </a:ln>
        </c:spPr>
        <c:crossAx val="2022508268"/>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ASH TEST</a:t>
            </a:r>
          </a:p>
        </c:rich>
      </c:tx>
      <c:overlay val="0"/>
    </c:title>
    <c:plotArea>
      <c:layout/>
      <c:barChart>
        <c:barDir val="col"/>
        <c:ser>
          <c:idx val="0"/>
          <c:order val="0"/>
          <c:cat>
            <c:strRef>
              <c:f>Resultados!$B$197</c:f>
            </c:strRef>
          </c:cat>
          <c:val>
            <c:numRef>
              <c:f>Resultados!$C$197</c:f>
              <c:numCache/>
            </c:numRef>
          </c:val>
        </c:ser>
        <c:ser>
          <c:idx val="1"/>
          <c:order val="1"/>
          <c:cat>
            <c:strRef>
              <c:f>Resultados!$B$197</c:f>
            </c:strRef>
          </c:cat>
          <c:val>
            <c:numRef>
              <c:f>Resultados!$D$197</c:f>
              <c:numCache/>
            </c:numRef>
          </c:val>
        </c:ser>
        <c:axId val="493525568"/>
        <c:axId val="1980281471"/>
      </c:barChart>
      <c:catAx>
        <c:axId val="4935255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0281471"/>
      </c:catAx>
      <c:valAx>
        <c:axId val="1980281471"/>
        <c:scaling>
          <c:orientation val="minMax"/>
        </c:scaling>
        <c:delete val="0"/>
        <c:axPos val="l"/>
        <c:tickLblPos val="nextTo"/>
        <c:spPr>
          <a:ln>
            <a:noFill/>
          </a:ln>
        </c:spPr>
        <c:crossAx val="493525568"/>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ASH TEST</a:t>
            </a:r>
          </a:p>
        </c:rich>
      </c:tx>
      <c:overlay val="0"/>
    </c:title>
    <c:plotArea>
      <c:layout/>
      <c:barChart>
        <c:barDir val="col"/>
        <c:ser>
          <c:idx val="0"/>
          <c:order val="0"/>
          <c:cat>
            <c:strRef>
              <c:f>Resultados!$B$199</c:f>
            </c:strRef>
          </c:cat>
          <c:val>
            <c:numRef>
              <c:f>Resultados!$C$199</c:f>
              <c:numCache/>
            </c:numRef>
          </c:val>
        </c:ser>
        <c:ser>
          <c:idx val="1"/>
          <c:order val="1"/>
          <c:cat>
            <c:strRef>
              <c:f>Resultados!$B$199</c:f>
            </c:strRef>
          </c:cat>
          <c:val>
            <c:numRef>
              <c:f>Resultados!$D$199</c:f>
              <c:numCache/>
            </c:numRef>
          </c:val>
        </c:ser>
        <c:axId val="2108989602"/>
        <c:axId val="923527619"/>
      </c:barChart>
      <c:catAx>
        <c:axId val="2108989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3527619"/>
      </c:catAx>
      <c:valAx>
        <c:axId val="923527619"/>
        <c:scaling>
          <c:orientation val="minMax"/>
        </c:scaling>
        <c:delete val="0"/>
        <c:axPos val="l"/>
        <c:tickLblPos val="nextTo"/>
        <c:spPr>
          <a:ln>
            <a:noFill/>
          </a:ln>
        </c:spPr>
        <c:crossAx val="2108989602"/>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ASH TEST</a:t>
            </a:r>
          </a:p>
        </c:rich>
      </c:tx>
      <c:overlay val="0"/>
    </c:title>
    <c:plotArea>
      <c:layout/>
      <c:barChart>
        <c:barDir val="col"/>
        <c:ser>
          <c:idx val="0"/>
          <c:order val="0"/>
          <c:cat>
            <c:strRef>
              <c:f>Resultados!$B$201</c:f>
            </c:strRef>
          </c:cat>
          <c:val>
            <c:numRef>
              <c:f>Resultados!$C$201</c:f>
              <c:numCache/>
            </c:numRef>
          </c:val>
        </c:ser>
        <c:ser>
          <c:idx val="1"/>
          <c:order val="1"/>
          <c:cat>
            <c:strRef>
              <c:f>Resultados!$B$201</c:f>
            </c:strRef>
          </c:cat>
          <c:val>
            <c:numRef>
              <c:f>Resultados!$D$201</c:f>
              <c:numCache/>
            </c:numRef>
          </c:val>
        </c:ser>
        <c:axId val="730531266"/>
        <c:axId val="448446566"/>
      </c:barChart>
      <c:catAx>
        <c:axId val="7305312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8446566"/>
      </c:catAx>
      <c:valAx>
        <c:axId val="448446566"/>
        <c:scaling>
          <c:orientation val="minMax"/>
        </c:scaling>
        <c:delete val="0"/>
        <c:axPos val="l"/>
        <c:tickLblPos val="nextTo"/>
        <c:spPr>
          <a:ln>
            <a:noFill/>
          </a:ln>
        </c:spPr>
        <c:crossAx val="730531266"/>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Resultados!$B$216:$B$217</c:f>
            </c:strRef>
          </c:cat>
          <c:val>
            <c:numRef>
              <c:f>Resultados!$C$216:$C$217</c:f>
              <c:numCache/>
            </c:numRef>
          </c:val>
        </c:ser>
        <c:ser>
          <c:idx val="1"/>
          <c:order val="1"/>
          <c:cat>
            <c:strRef>
              <c:f>Resultados!$B$216:$B$217</c:f>
            </c:strRef>
          </c:cat>
          <c:val>
            <c:numRef>
              <c:f>Resultados!$D$216:$D$217</c:f>
              <c:numCache/>
            </c:numRef>
          </c:val>
        </c:ser>
        <c:axId val="372252285"/>
        <c:axId val="1374511159"/>
      </c:barChart>
      <c:catAx>
        <c:axId val="3722522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4511159"/>
      </c:catAx>
      <c:valAx>
        <c:axId val="1374511159"/>
        <c:scaling>
          <c:orientation val="minMax"/>
        </c:scaling>
        <c:delete val="0"/>
        <c:axPos val="l"/>
        <c:tickLblPos val="nextTo"/>
        <c:spPr>
          <a:ln>
            <a:noFill/>
          </a:ln>
        </c:spPr>
        <c:crossAx val="372252285"/>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Resultados!$B$218:$B$219</c:f>
            </c:strRef>
          </c:cat>
          <c:val>
            <c:numRef>
              <c:f>Resultados!$C$218:$C$219</c:f>
              <c:numCache/>
            </c:numRef>
          </c:val>
        </c:ser>
        <c:ser>
          <c:idx val="1"/>
          <c:order val="1"/>
          <c:cat>
            <c:strRef>
              <c:f>Resultados!$B$218:$B$219</c:f>
            </c:strRef>
          </c:cat>
          <c:val>
            <c:numRef>
              <c:f>Resultados!$D$218:$D$219</c:f>
              <c:numCache/>
            </c:numRef>
          </c:val>
        </c:ser>
        <c:axId val="1848876832"/>
        <c:axId val="100170249"/>
      </c:barChart>
      <c:catAx>
        <c:axId val="1848876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170249"/>
      </c:catAx>
      <c:valAx>
        <c:axId val="100170249"/>
        <c:scaling>
          <c:orientation val="minMax"/>
        </c:scaling>
        <c:delete val="0"/>
        <c:axPos val="l"/>
        <c:tickLblPos val="nextTo"/>
        <c:spPr>
          <a:ln>
            <a:noFill/>
          </a:ln>
        </c:spPr>
        <c:crossAx val="1848876832"/>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CMJ A 2 PIERNAS</a:t>
            </a:r>
          </a:p>
        </c:rich>
      </c:tx>
      <c:overlay val="0"/>
    </c:title>
    <c:plotArea>
      <c:layout/>
      <c:barChart>
        <c:barDir val="col"/>
        <c:ser>
          <c:idx val="0"/>
          <c:order val="0"/>
          <c:cat>
            <c:strRef>
              <c:f>Resultados!$C$239:$C$241</c:f>
            </c:strRef>
          </c:cat>
          <c:val>
            <c:numRef>
              <c:f>Resultados!$D$239:$D$241</c:f>
              <c:numCache/>
            </c:numRef>
          </c:val>
        </c:ser>
        <c:ser>
          <c:idx val="1"/>
          <c:order val="1"/>
          <c:cat>
            <c:strRef>
              <c:f>Resultados!$C$239:$C$241</c:f>
            </c:strRef>
          </c:cat>
          <c:val>
            <c:numRef>
              <c:f>Resultados!$E$239:$E$241</c:f>
              <c:numCache/>
            </c:numRef>
          </c:val>
        </c:ser>
        <c:axId val="1644170352"/>
        <c:axId val="895272370"/>
      </c:barChart>
      <c:catAx>
        <c:axId val="1644170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5272370"/>
      </c:catAx>
      <c:valAx>
        <c:axId val="895272370"/>
        <c:scaling>
          <c:orientation val="minMax"/>
        </c:scaling>
        <c:delete val="0"/>
        <c:axPos val="l"/>
        <c:tickLblPos val="nextTo"/>
        <c:spPr>
          <a:ln>
            <a:noFill/>
          </a:ln>
        </c:spPr>
        <c:crossAx val="1644170352"/>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DROP JUMP A 1P</a:t>
            </a:r>
          </a:p>
        </c:rich>
      </c:tx>
      <c:overlay val="0"/>
    </c:title>
    <c:plotArea>
      <c:layout/>
      <c:barChart>
        <c:barDir val="col"/>
        <c:ser>
          <c:idx val="0"/>
          <c:order val="0"/>
          <c:cat>
            <c:strRef>
              <c:f>Resultados!$C$251</c:f>
            </c:strRef>
          </c:cat>
          <c:val>
            <c:numRef>
              <c:f>Resultados!$D$251</c:f>
              <c:numCache/>
            </c:numRef>
          </c:val>
        </c:ser>
        <c:ser>
          <c:idx val="1"/>
          <c:order val="1"/>
          <c:cat>
            <c:strRef>
              <c:f>Resultados!$C$251</c:f>
            </c:strRef>
          </c:cat>
          <c:val>
            <c:numRef>
              <c:f>Resultados!$E$251</c:f>
              <c:numCache/>
            </c:numRef>
          </c:val>
        </c:ser>
        <c:axId val="1659648716"/>
        <c:axId val="1674174736"/>
      </c:barChart>
      <c:catAx>
        <c:axId val="1659648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4174736"/>
      </c:catAx>
      <c:valAx>
        <c:axId val="1674174736"/>
        <c:scaling>
          <c:orientation val="minMax"/>
        </c:scaling>
        <c:delete val="0"/>
        <c:axPos val="l"/>
        <c:tickLblPos val="nextTo"/>
        <c:spPr>
          <a:ln>
            <a:noFill/>
          </a:ln>
        </c:spPr>
        <c:crossAx val="1659648716"/>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DROP JUMP A 1P</a:t>
            </a:r>
          </a:p>
        </c:rich>
      </c:tx>
      <c:overlay val="0"/>
    </c:title>
    <c:plotArea>
      <c:layout/>
      <c:barChart>
        <c:barDir val="col"/>
        <c:ser>
          <c:idx val="0"/>
          <c:order val="0"/>
          <c:cat>
            <c:strRef>
              <c:f>Resultados!$C$252</c:f>
            </c:strRef>
          </c:cat>
          <c:val>
            <c:numRef>
              <c:f>Resultados!$D$252</c:f>
              <c:numCache/>
            </c:numRef>
          </c:val>
        </c:ser>
        <c:ser>
          <c:idx val="1"/>
          <c:order val="1"/>
          <c:cat>
            <c:strRef>
              <c:f>Resultados!$C$252</c:f>
            </c:strRef>
          </c:cat>
          <c:val>
            <c:numRef>
              <c:f>Resultados!$E$252</c:f>
              <c:numCache/>
            </c:numRef>
          </c:val>
        </c:ser>
        <c:axId val="1964882490"/>
        <c:axId val="661499503"/>
      </c:barChart>
      <c:catAx>
        <c:axId val="19648824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1499503"/>
      </c:catAx>
      <c:valAx>
        <c:axId val="661499503"/>
        <c:scaling>
          <c:orientation val="minMax"/>
        </c:scaling>
        <c:delete val="0"/>
        <c:axPos val="l"/>
        <c:tickLblPos val="nextTo"/>
        <c:spPr>
          <a:ln>
            <a:noFill/>
          </a:ln>
        </c:spPr>
        <c:crossAx val="1964882490"/>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SINGLE HOP TEST</a:t>
            </a:r>
          </a:p>
        </c:rich>
      </c:tx>
      <c:overlay val="0"/>
    </c:title>
    <c:plotArea>
      <c:layout/>
      <c:barChart>
        <c:barDir val="col"/>
        <c:ser>
          <c:idx val="0"/>
          <c:order val="0"/>
          <c:cat>
            <c:strRef>
              <c:f>Resultados!$C$267</c:f>
            </c:strRef>
          </c:cat>
          <c:val>
            <c:numRef>
              <c:f>Resultados!$D$267</c:f>
              <c:numCache/>
            </c:numRef>
          </c:val>
        </c:ser>
        <c:ser>
          <c:idx val="1"/>
          <c:order val="1"/>
          <c:cat>
            <c:strRef>
              <c:f>Resultados!$C$267</c:f>
            </c:strRef>
          </c:cat>
          <c:val>
            <c:numRef>
              <c:f>Resultados!$E$267</c:f>
              <c:numCache/>
            </c:numRef>
          </c:val>
        </c:ser>
        <c:axId val="951419075"/>
        <c:axId val="1515853694"/>
      </c:barChart>
      <c:catAx>
        <c:axId val="951419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15853694"/>
      </c:catAx>
      <c:valAx>
        <c:axId val="1515853694"/>
        <c:scaling>
          <c:orientation val="minMax"/>
        </c:scaling>
        <c:delete val="0"/>
        <c:axPos val="l"/>
        <c:tickLblPos val="nextTo"/>
        <c:spPr>
          <a:ln>
            <a:noFill/>
          </a:ln>
        </c:spPr>
        <c:crossAx val="951419075"/>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TRIPLE HOP TEST</a:t>
            </a:r>
          </a:p>
        </c:rich>
      </c:tx>
      <c:overlay val="0"/>
    </c:title>
    <c:plotArea>
      <c:layout/>
      <c:barChart>
        <c:barDir val="col"/>
        <c:ser>
          <c:idx val="0"/>
          <c:order val="0"/>
          <c:cat>
            <c:strRef>
              <c:f>Resultados!$C$268</c:f>
            </c:strRef>
          </c:cat>
          <c:val>
            <c:numRef>
              <c:f>Resultados!$D$268</c:f>
              <c:numCache/>
            </c:numRef>
          </c:val>
        </c:ser>
        <c:ser>
          <c:idx val="1"/>
          <c:order val="1"/>
          <c:cat>
            <c:strRef>
              <c:f>Resultados!$C$268</c:f>
            </c:strRef>
          </c:cat>
          <c:val>
            <c:numRef>
              <c:f>Resultados!$E$268</c:f>
              <c:numCache/>
            </c:numRef>
          </c:val>
        </c:ser>
        <c:axId val="88148907"/>
        <c:axId val="1301203271"/>
      </c:barChart>
      <c:catAx>
        <c:axId val="881489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1203271"/>
      </c:catAx>
      <c:valAx>
        <c:axId val="1301203271"/>
        <c:scaling>
          <c:orientation val="minMax"/>
        </c:scaling>
        <c:delete val="0"/>
        <c:axPos val="l"/>
        <c:tickLblPos val="nextTo"/>
        <c:spPr>
          <a:ln>
            <a:noFill/>
          </a:ln>
        </c:spPr>
        <c:crossAx val="88148907"/>
      </c:valAx>
    </c:plotArea>
    <c:legend>
      <c:legendPos val="r"/>
      <c:overlay val="0"/>
      <c:txPr>
        <a:bodyPr/>
        <a:lstStyle/>
        <a:p>
          <a:pPr lvl="0">
            <a:defRPr b="0">
              <a:solidFill>
                <a:srgbClr val="1A1A1A"/>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TRIPLE HOP TEST</a:t>
            </a:r>
          </a:p>
        </c:rich>
      </c:tx>
      <c:overlay val="0"/>
    </c:title>
    <c:plotArea>
      <c:layout/>
      <c:barChart>
        <c:barDir val="col"/>
        <c:ser>
          <c:idx val="0"/>
          <c:order val="0"/>
          <c:cat>
            <c:strRef>
              <c:f>Resultados!$C$269</c:f>
            </c:strRef>
          </c:cat>
          <c:val>
            <c:numRef>
              <c:f>Resultados!$D$269</c:f>
              <c:numCache/>
            </c:numRef>
          </c:val>
        </c:ser>
        <c:ser>
          <c:idx val="1"/>
          <c:order val="1"/>
          <c:cat>
            <c:strRef>
              <c:f>Resultados!$C$269</c:f>
            </c:strRef>
          </c:cat>
          <c:val>
            <c:numRef>
              <c:f>Resultados!$E$269</c:f>
              <c:numCache/>
            </c:numRef>
          </c:val>
        </c:ser>
        <c:axId val="1861966313"/>
        <c:axId val="1881424569"/>
      </c:barChart>
      <c:catAx>
        <c:axId val="1861966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81424569"/>
      </c:catAx>
      <c:valAx>
        <c:axId val="1881424569"/>
        <c:scaling>
          <c:orientation val="minMax"/>
        </c:scaling>
        <c:delete val="0"/>
        <c:axPos val="l"/>
        <c:tickLblPos val="nextTo"/>
        <c:spPr>
          <a:ln>
            <a:noFill/>
          </a:ln>
        </c:spPr>
        <c:crossAx val="1861966313"/>
      </c:valAx>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CROSSOVER HOP TEST</a:t>
            </a:r>
          </a:p>
        </c:rich>
      </c:tx>
      <c:overlay val="0"/>
    </c:title>
    <c:plotArea>
      <c:layout/>
      <c:barChart>
        <c:barDir val="col"/>
        <c:ser>
          <c:idx val="0"/>
          <c:order val="0"/>
          <c:cat>
            <c:strRef>
              <c:f>Resultados!$C$270</c:f>
            </c:strRef>
          </c:cat>
          <c:val>
            <c:numRef>
              <c:f>Resultados!$D$270</c:f>
              <c:numCache/>
            </c:numRef>
          </c:val>
        </c:ser>
        <c:ser>
          <c:idx val="1"/>
          <c:order val="1"/>
          <c:cat>
            <c:strRef>
              <c:f>Resultados!$C$270</c:f>
            </c:strRef>
          </c:cat>
          <c:val>
            <c:numRef>
              <c:f>Resultados!$E$270</c:f>
              <c:numCache/>
            </c:numRef>
          </c:val>
        </c:ser>
        <c:axId val="404614745"/>
        <c:axId val="218909463"/>
      </c:barChart>
      <c:catAx>
        <c:axId val="404614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8909463"/>
      </c:catAx>
      <c:valAx>
        <c:axId val="218909463"/>
        <c:scaling>
          <c:orientation val="minMax"/>
        </c:scaling>
        <c:delete val="0"/>
        <c:axPos val="l"/>
        <c:tickLblPos val="nextTo"/>
        <c:spPr>
          <a:ln>
            <a:noFill/>
          </a:ln>
        </c:spPr>
        <c:crossAx val="404614745"/>
      </c:valAx>
    </c:plotArea>
    <c:legend>
      <c:legendPos val="r"/>
      <c:overlay val="0"/>
      <c:txPr>
        <a:bodyPr/>
        <a:lstStyle/>
        <a:p>
          <a:pPr lvl="0">
            <a:defRPr b="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CROSSOVER HOP TEST</a:t>
            </a:r>
          </a:p>
        </c:rich>
      </c:tx>
      <c:overlay val="0"/>
    </c:title>
    <c:plotArea>
      <c:layout/>
      <c:barChart>
        <c:barDir val="col"/>
        <c:ser>
          <c:idx val="0"/>
          <c:order val="0"/>
          <c:cat>
            <c:strRef>
              <c:f>Resultados!$C$271</c:f>
            </c:strRef>
          </c:cat>
          <c:val>
            <c:numRef>
              <c:f>Resultados!$D$271</c:f>
              <c:numCache/>
            </c:numRef>
          </c:val>
        </c:ser>
        <c:ser>
          <c:idx val="1"/>
          <c:order val="1"/>
          <c:cat>
            <c:strRef>
              <c:f>Resultados!$C$271</c:f>
            </c:strRef>
          </c:cat>
          <c:val>
            <c:numRef>
              <c:f>Resultados!$E$271</c:f>
              <c:numCache/>
            </c:numRef>
          </c:val>
        </c:ser>
        <c:axId val="1789318974"/>
        <c:axId val="1253816515"/>
      </c:barChart>
      <c:catAx>
        <c:axId val="1789318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53816515"/>
      </c:catAx>
      <c:valAx>
        <c:axId val="1253816515"/>
        <c:scaling>
          <c:orientation val="minMax"/>
        </c:scaling>
        <c:delete val="0"/>
        <c:axPos val="l"/>
        <c:tickLblPos val="nextTo"/>
        <c:spPr>
          <a:ln>
            <a:noFill/>
          </a:ln>
        </c:spPr>
        <c:crossAx val="1789318974"/>
      </c:valAx>
    </c:plotArea>
    <c:legend>
      <c:legendPos val="r"/>
      <c:overlay val="0"/>
      <c:txPr>
        <a:bodyPr/>
        <a:lstStyle/>
        <a:p>
          <a:pPr lvl="0">
            <a:defRPr b="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MEDIAL SIDE TRIPLE HOP TEST</a:t>
            </a:r>
          </a:p>
        </c:rich>
      </c:tx>
      <c:overlay val="0"/>
    </c:title>
    <c:plotArea>
      <c:layout/>
      <c:barChart>
        <c:barDir val="col"/>
        <c:ser>
          <c:idx val="0"/>
          <c:order val="0"/>
          <c:cat>
            <c:strRef>
              <c:f>Resultados!$C$272</c:f>
            </c:strRef>
          </c:cat>
          <c:val>
            <c:numRef>
              <c:f>Resultados!$D$272</c:f>
              <c:numCache/>
            </c:numRef>
          </c:val>
        </c:ser>
        <c:ser>
          <c:idx val="1"/>
          <c:order val="1"/>
          <c:cat>
            <c:strRef>
              <c:f>Resultados!$C$272</c:f>
            </c:strRef>
          </c:cat>
          <c:val>
            <c:numRef>
              <c:f>Resultados!$E$272</c:f>
              <c:numCache/>
            </c:numRef>
          </c:val>
        </c:ser>
        <c:axId val="228710693"/>
        <c:axId val="1216797"/>
      </c:barChart>
      <c:catAx>
        <c:axId val="228710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6797"/>
      </c:catAx>
      <c:valAx>
        <c:axId val="1216797"/>
        <c:scaling>
          <c:orientation val="minMax"/>
        </c:scaling>
        <c:delete val="0"/>
        <c:axPos val="l"/>
        <c:tickLblPos val="nextTo"/>
        <c:spPr>
          <a:ln>
            <a:noFill/>
          </a:ln>
        </c:spPr>
        <c:crossAx val="228710693"/>
      </c:valAx>
    </c:plotArea>
    <c:legend>
      <c:legendPos val="r"/>
      <c:overlay val="0"/>
      <c:txPr>
        <a:bodyPr/>
        <a:lstStyle/>
        <a:p>
          <a:pPr lvl="0">
            <a:defRPr b="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90 MEDIAL ROTATION HOP TEST</a:t>
            </a:r>
          </a:p>
        </c:rich>
      </c:tx>
      <c:overlay val="0"/>
    </c:title>
    <c:plotArea>
      <c:layout/>
      <c:barChart>
        <c:barDir val="col"/>
        <c:ser>
          <c:idx val="0"/>
          <c:order val="0"/>
          <c:cat>
            <c:strRef>
              <c:f>Resultados!$C$273</c:f>
            </c:strRef>
          </c:cat>
          <c:val>
            <c:numRef>
              <c:f>Resultados!$D$273</c:f>
              <c:numCache/>
            </c:numRef>
          </c:val>
        </c:ser>
        <c:ser>
          <c:idx val="1"/>
          <c:order val="1"/>
          <c:cat>
            <c:strRef>
              <c:f>Resultados!$C$273</c:f>
            </c:strRef>
          </c:cat>
          <c:val>
            <c:numRef>
              <c:f>Resultados!$E$273</c:f>
              <c:numCache/>
            </c:numRef>
          </c:val>
        </c:ser>
        <c:axId val="306743339"/>
        <c:axId val="2011525472"/>
      </c:barChart>
      <c:catAx>
        <c:axId val="3067433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1525472"/>
      </c:catAx>
      <c:valAx>
        <c:axId val="2011525472"/>
        <c:scaling>
          <c:orientation val="minMax"/>
        </c:scaling>
        <c:delete val="0"/>
        <c:axPos val="l"/>
        <c:tickLblPos val="nextTo"/>
        <c:spPr>
          <a:ln>
            <a:noFill/>
          </a:ln>
        </c:spPr>
        <c:crossAx val="306743339"/>
      </c:valAx>
    </c:plotArea>
    <c:legend>
      <c:legendPos val="r"/>
      <c:overlay val="0"/>
      <c:txPr>
        <a:bodyPr/>
        <a:lstStyle/>
        <a:p>
          <a:pPr lvl="0">
            <a:defRPr b="0">
              <a:solidFill>
                <a:srgbClr val="1A1A1A"/>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SIDE HOP TEST</a:t>
            </a:r>
          </a:p>
        </c:rich>
      </c:tx>
      <c:overlay val="0"/>
    </c:title>
    <c:plotArea>
      <c:layout/>
      <c:barChart>
        <c:barDir val="col"/>
        <c:ser>
          <c:idx val="0"/>
          <c:order val="0"/>
          <c:cat>
            <c:strRef>
              <c:f>Resultados!$C$274</c:f>
            </c:strRef>
          </c:cat>
          <c:val>
            <c:numRef>
              <c:f>Resultados!$D$274</c:f>
              <c:numCache/>
            </c:numRef>
          </c:val>
        </c:ser>
        <c:ser>
          <c:idx val="1"/>
          <c:order val="1"/>
          <c:cat>
            <c:strRef>
              <c:f>Resultados!$C$274</c:f>
            </c:strRef>
          </c:cat>
          <c:val>
            <c:numRef>
              <c:f>Resultados!$E$274</c:f>
              <c:numCache/>
            </c:numRef>
          </c:val>
        </c:ser>
        <c:axId val="650184445"/>
        <c:axId val="1430552474"/>
      </c:barChart>
      <c:catAx>
        <c:axId val="6501844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0552474"/>
      </c:catAx>
      <c:valAx>
        <c:axId val="1430552474"/>
        <c:scaling>
          <c:orientation val="minMax"/>
        </c:scaling>
        <c:delete val="0"/>
        <c:axPos val="l"/>
        <c:tickLblPos val="nextTo"/>
        <c:spPr>
          <a:ln>
            <a:noFill/>
          </a:ln>
        </c:spPr>
        <c:crossAx val="650184445"/>
      </c:valAx>
    </c:plotArea>
    <c:legend>
      <c:legendPos val="r"/>
      <c:overlay val="0"/>
      <c:txPr>
        <a:bodyPr/>
        <a:lstStyle/>
        <a:p>
          <a:pPr lvl="0">
            <a:defRPr b="0">
              <a:solidFill>
                <a:srgbClr val="1A1A1A"/>
              </a:solidFill>
              <a:latin typeface="+mn-lt"/>
            </a:defRPr>
          </a:pPr>
        </a:p>
      </c:txPr>
    </c:legend>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HANDRIP</a:t>
            </a:r>
          </a:p>
        </c:rich>
      </c:tx>
      <c:overlay val="0"/>
    </c:title>
    <c:plotArea>
      <c:layout/>
      <c:barChart>
        <c:barDir val="col"/>
        <c:ser>
          <c:idx val="0"/>
          <c:order val="0"/>
          <c:cat>
            <c:strRef>
              <c:f>Resultados!$C$211</c:f>
            </c:strRef>
          </c:cat>
          <c:val>
            <c:numRef>
              <c:f>Resultados!$D$211</c:f>
              <c:numCache/>
            </c:numRef>
          </c:val>
        </c:ser>
        <c:ser>
          <c:idx val="1"/>
          <c:order val="1"/>
          <c:cat>
            <c:strRef>
              <c:f>Resultados!$C$211</c:f>
            </c:strRef>
          </c:cat>
          <c:val>
            <c:numRef>
              <c:f>Resultados!$E$211</c:f>
              <c:numCache/>
            </c:numRef>
          </c:val>
        </c:ser>
        <c:axId val="801680656"/>
        <c:axId val="1828937074"/>
      </c:barChart>
      <c:catAx>
        <c:axId val="801680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28937074"/>
      </c:catAx>
      <c:valAx>
        <c:axId val="1828937074"/>
        <c:scaling>
          <c:orientation val="minMax"/>
        </c:scaling>
        <c:delete val="0"/>
        <c:axPos val="l"/>
        <c:tickLblPos val="nextTo"/>
        <c:spPr>
          <a:ln>
            <a:noFill/>
          </a:ln>
        </c:spPr>
        <c:crossAx val="801680656"/>
      </c:valAx>
    </c:plotArea>
    <c:legend>
      <c:legendPos val="r"/>
      <c:overlay val="0"/>
      <c:txPr>
        <a:bodyPr/>
        <a:lstStyle/>
        <a:p>
          <a:pPr lvl="0">
            <a:defRPr b="0">
              <a:solidFill>
                <a:srgbClr val="1A1A1A"/>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VELOOCIDAD DE EJECUCIÓN</a:t>
            </a:r>
          </a:p>
        </c:rich>
      </c:tx>
      <c:overlay val="0"/>
    </c:title>
    <c:plotArea>
      <c:layout/>
      <c:barChart>
        <c:barDir val="col"/>
        <c:ser>
          <c:idx val="0"/>
          <c:order val="0"/>
          <c:cat>
            <c:strRef>
              <c:f>Resultados!$C$227:$C$230</c:f>
            </c:strRef>
          </c:cat>
          <c:val>
            <c:numRef>
              <c:f>Resultados!$D$227:$D$230</c:f>
              <c:numCache/>
            </c:numRef>
          </c:val>
        </c:ser>
        <c:ser>
          <c:idx val="1"/>
          <c:order val="1"/>
          <c:cat>
            <c:strRef>
              <c:f>Resultados!$C$227:$C$230</c:f>
            </c:strRef>
          </c:cat>
          <c:val>
            <c:numRef>
              <c:f>Resultados!$E$227:$E$230</c:f>
              <c:numCache/>
            </c:numRef>
          </c:val>
        </c:ser>
        <c:axId val="154582375"/>
        <c:axId val="409604997"/>
      </c:barChart>
      <c:catAx>
        <c:axId val="154582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9604997"/>
      </c:catAx>
      <c:valAx>
        <c:axId val="409604997"/>
        <c:scaling>
          <c:orientation val="minMax"/>
        </c:scaling>
        <c:delete val="0"/>
        <c:axPos val="l"/>
        <c:tickLblPos val="nextTo"/>
        <c:spPr>
          <a:ln>
            <a:noFill/>
          </a:ln>
        </c:spPr>
        <c:crossAx val="154582375"/>
      </c:valAx>
    </c:plotArea>
    <c:legend>
      <c:legendPos val="r"/>
      <c:overlay val="0"/>
      <c:txPr>
        <a:bodyPr/>
        <a:lstStyle/>
        <a:p>
          <a:pPr lvl="0">
            <a:defRPr b="0">
              <a:solidFill>
                <a:srgbClr val="1A1A1A"/>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CMJ A 1 PIERNA</a:t>
            </a:r>
          </a:p>
        </c:rich>
      </c:tx>
      <c:overlay val="0"/>
    </c:title>
    <c:plotArea>
      <c:layout/>
      <c:barChart>
        <c:barDir val="col"/>
        <c:ser>
          <c:idx val="0"/>
          <c:order val="0"/>
          <c:cat>
            <c:strRef>
              <c:f>Resultados!$C$244:$C$246</c:f>
            </c:strRef>
          </c:cat>
          <c:val>
            <c:numRef>
              <c:f>Resultados!$D$244:$D$246</c:f>
              <c:numCache/>
            </c:numRef>
          </c:val>
        </c:ser>
        <c:ser>
          <c:idx val="1"/>
          <c:order val="1"/>
          <c:cat>
            <c:strRef>
              <c:f>Resultados!$C$244:$C$246</c:f>
            </c:strRef>
          </c:cat>
          <c:val>
            <c:numRef>
              <c:f>Resultados!$E$244:$E$246</c:f>
              <c:numCache/>
            </c:numRef>
          </c:val>
        </c:ser>
        <c:axId val="535747017"/>
        <c:axId val="406795527"/>
      </c:barChart>
      <c:catAx>
        <c:axId val="535747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6795527"/>
      </c:catAx>
      <c:valAx>
        <c:axId val="406795527"/>
        <c:scaling>
          <c:orientation val="minMax"/>
        </c:scaling>
        <c:delete val="0"/>
        <c:axPos val="l"/>
        <c:tickLblPos val="nextTo"/>
        <c:spPr>
          <a:ln>
            <a:noFill/>
          </a:ln>
        </c:spPr>
        <c:crossAx val="535747017"/>
      </c:valAx>
    </c:plotArea>
    <c:legend>
      <c:legendPos val="r"/>
      <c:overlay val="0"/>
      <c:txPr>
        <a:bodyPr/>
        <a:lstStyle/>
        <a:p>
          <a:pPr lvl="0">
            <a:defRPr b="0">
              <a:solidFill>
                <a:srgbClr val="1A1A1A"/>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CMJ A 1 PIERNA</a:t>
            </a:r>
          </a:p>
        </c:rich>
      </c:tx>
      <c:overlay val="0"/>
    </c:title>
    <c:plotArea>
      <c:layout/>
      <c:barChart>
        <c:barDir val="col"/>
        <c:ser>
          <c:idx val="0"/>
          <c:order val="0"/>
          <c:cat>
            <c:strRef>
              <c:f>Resultados!$C$243</c:f>
            </c:strRef>
          </c:cat>
          <c:val>
            <c:numRef>
              <c:f>Resultados!$D$243</c:f>
              <c:numCache/>
            </c:numRef>
          </c:val>
        </c:ser>
        <c:ser>
          <c:idx val="1"/>
          <c:order val="1"/>
          <c:cat>
            <c:strRef>
              <c:f>Resultados!$C$243</c:f>
            </c:strRef>
          </c:cat>
          <c:val>
            <c:numRef>
              <c:f>Resultados!$E$243</c:f>
              <c:numCache/>
            </c:numRef>
          </c:val>
        </c:ser>
        <c:axId val="1478046785"/>
        <c:axId val="1325667556"/>
      </c:barChart>
      <c:catAx>
        <c:axId val="1478046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25667556"/>
      </c:catAx>
      <c:valAx>
        <c:axId val="1325667556"/>
        <c:scaling>
          <c:orientation val="minMax"/>
        </c:scaling>
        <c:delete val="0"/>
        <c:axPos val="l"/>
        <c:tickLblPos val="nextTo"/>
        <c:spPr>
          <a:ln>
            <a:noFill/>
          </a:ln>
        </c:spPr>
        <c:crossAx val="1478046785"/>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DROP JUMP A 2P</a:t>
            </a:r>
          </a:p>
        </c:rich>
      </c:tx>
      <c:overlay val="0"/>
    </c:title>
    <c:plotArea>
      <c:layout/>
      <c:barChart>
        <c:barDir val="col"/>
        <c:ser>
          <c:idx val="0"/>
          <c:order val="0"/>
          <c:cat>
            <c:strRef>
              <c:f>Resultados!$C$249</c:f>
            </c:strRef>
          </c:cat>
          <c:val>
            <c:numRef>
              <c:f>Resultados!$D$249</c:f>
              <c:numCache/>
            </c:numRef>
          </c:val>
        </c:ser>
        <c:ser>
          <c:idx val="1"/>
          <c:order val="1"/>
          <c:cat>
            <c:strRef>
              <c:f>Resultados!$C$249</c:f>
            </c:strRef>
          </c:cat>
          <c:val>
            <c:numRef>
              <c:f>Resultados!$E$249</c:f>
              <c:numCache/>
            </c:numRef>
          </c:val>
        </c:ser>
        <c:axId val="1689961404"/>
        <c:axId val="248652261"/>
      </c:barChart>
      <c:catAx>
        <c:axId val="1689961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8652261"/>
      </c:catAx>
      <c:valAx>
        <c:axId val="248652261"/>
        <c:scaling>
          <c:orientation val="minMax"/>
        </c:scaling>
        <c:delete val="0"/>
        <c:axPos val="l"/>
        <c:tickLblPos val="nextTo"/>
        <c:spPr>
          <a:ln>
            <a:noFill/>
          </a:ln>
        </c:spPr>
        <c:crossAx val="168996140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chart" Target="../charts/chart40.xml"/><Relationship Id="rId42" Type="http://schemas.openxmlformats.org/officeDocument/2006/relationships/chart" Target="../charts/chart42.xml"/><Relationship Id="rId41" Type="http://schemas.openxmlformats.org/officeDocument/2006/relationships/chart" Target="../charts/chart41.xml"/><Relationship Id="rId44" Type="http://schemas.openxmlformats.org/officeDocument/2006/relationships/chart" Target="../charts/chart44.xml"/><Relationship Id="rId43" Type="http://schemas.openxmlformats.org/officeDocument/2006/relationships/chart" Target="../charts/chart43.xml"/><Relationship Id="rId46" Type="http://schemas.openxmlformats.org/officeDocument/2006/relationships/chart" Target="../charts/chart46.xml"/><Relationship Id="rId45" Type="http://schemas.openxmlformats.org/officeDocument/2006/relationships/chart" Target="../charts/chart45.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48" Type="http://schemas.openxmlformats.org/officeDocument/2006/relationships/chart" Target="../charts/chart48.xml"/><Relationship Id="rId47" Type="http://schemas.openxmlformats.org/officeDocument/2006/relationships/chart" Target="../charts/chart47.xml"/><Relationship Id="rId49" Type="http://schemas.openxmlformats.org/officeDocument/2006/relationships/chart" Target="../charts/chart4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31" Type="http://schemas.openxmlformats.org/officeDocument/2006/relationships/chart" Target="../charts/chart31.xml"/><Relationship Id="rId30" Type="http://schemas.openxmlformats.org/officeDocument/2006/relationships/chart" Target="../charts/chart30.xml"/><Relationship Id="rId33" Type="http://schemas.openxmlformats.org/officeDocument/2006/relationships/chart" Target="../charts/chart33.xml"/><Relationship Id="rId32" Type="http://schemas.openxmlformats.org/officeDocument/2006/relationships/chart" Target="../charts/chart32.xml"/><Relationship Id="rId35" Type="http://schemas.openxmlformats.org/officeDocument/2006/relationships/chart" Target="../charts/chart35.xml"/><Relationship Id="rId34" Type="http://schemas.openxmlformats.org/officeDocument/2006/relationships/chart" Target="../charts/chart34.xml"/><Relationship Id="rId37" Type="http://schemas.openxmlformats.org/officeDocument/2006/relationships/chart" Target="../charts/chart37.xml"/><Relationship Id="rId36" Type="http://schemas.openxmlformats.org/officeDocument/2006/relationships/chart" Target="../charts/chart36.xml"/><Relationship Id="rId39" Type="http://schemas.openxmlformats.org/officeDocument/2006/relationships/chart" Target="../charts/chart39.xml"/><Relationship Id="rId38" Type="http://schemas.openxmlformats.org/officeDocument/2006/relationships/chart" Target="../charts/chart38.xml"/><Relationship Id="rId20" Type="http://schemas.openxmlformats.org/officeDocument/2006/relationships/chart" Target="../charts/chart20.xml"/><Relationship Id="rId22" Type="http://schemas.openxmlformats.org/officeDocument/2006/relationships/chart" Target="../charts/chart22.xml"/><Relationship Id="rId21" Type="http://schemas.openxmlformats.org/officeDocument/2006/relationships/chart" Target="../charts/chart21.xml"/><Relationship Id="rId24" Type="http://schemas.openxmlformats.org/officeDocument/2006/relationships/chart" Target="../charts/chart24.xml"/><Relationship Id="rId23" Type="http://schemas.openxmlformats.org/officeDocument/2006/relationships/chart" Target="../charts/chart23.xml"/><Relationship Id="rId26" Type="http://schemas.openxmlformats.org/officeDocument/2006/relationships/chart" Target="../charts/chart26.xml"/><Relationship Id="rId25" Type="http://schemas.openxmlformats.org/officeDocument/2006/relationships/chart" Target="../charts/chart25.xml"/><Relationship Id="rId28" Type="http://schemas.openxmlformats.org/officeDocument/2006/relationships/chart" Target="../charts/chart28.xml"/><Relationship Id="rId27" Type="http://schemas.openxmlformats.org/officeDocument/2006/relationships/chart" Target="../charts/chart27.xml"/><Relationship Id="rId29" Type="http://schemas.openxmlformats.org/officeDocument/2006/relationships/chart" Target="../charts/chart29.xml"/><Relationship Id="rId51" Type="http://schemas.openxmlformats.org/officeDocument/2006/relationships/chart" Target="../charts/chart51.xml"/><Relationship Id="rId50" Type="http://schemas.openxmlformats.org/officeDocument/2006/relationships/chart" Target="../charts/chart50.xml"/><Relationship Id="rId53" Type="http://schemas.openxmlformats.org/officeDocument/2006/relationships/image" Target="../media/image5.png"/><Relationship Id="rId52" Type="http://schemas.openxmlformats.org/officeDocument/2006/relationships/chart" Target="../charts/chart52.xml"/><Relationship Id="rId11" Type="http://schemas.openxmlformats.org/officeDocument/2006/relationships/chart" Target="../charts/chart11.xml"/><Relationship Id="rId55" Type="http://schemas.openxmlformats.org/officeDocument/2006/relationships/image" Target="../media/image1.png"/><Relationship Id="rId10" Type="http://schemas.openxmlformats.org/officeDocument/2006/relationships/chart" Target="../charts/chart10.xml"/><Relationship Id="rId54" Type="http://schemas.openxmlformats.org/officeDocument/2006/relationships/image" Target="../media/image6.png"/><Relationship Id="rId13" Type="http://schemas.openxmlformats.org/officeDocument/2006/relationships/chart" Target="../charts/chart13.xml"/><Relationship Id="rId57" Type="http://schemas.openxmlformats.org/officeDocument/2006/relationships/image" Target="../media/image3.png"/><Relationship Id="rId12" Type="http://schemas.openxmlformats.org/officeDocument/2006/relationships/chart" Target="../charts/chart12.xml"/><Relationship Id="rId56" Type="http://schemas.openxmlformats.org/officeDocument/2006/relationships/image" Target="../media/image2.png"/><Relationship Id="rId15" Type="http://schemas.openxmlformats.org/officeDocument/2006/relationships/chart" Target="../charts/chart15.xml"/><Relationship Id="rId59" Type="http://schemas.openxmlformats.org/officeDocument/2006/relationships/image" Target="../media/image7.png"/><Relationship Id="rId14" Type="http://schemas.openxmlformats.org/officeDocument/2006/relationships/chart" Target="../charts/chart14.xml"/><Relationship Id="rId58" Type="http://schemas.openxmlformats.org/officeDocument/2006/relationships/image" Target="../media/image4.png"/><Relationship Id="rId17" Type="http://schemas.openxmlformats.org/officeDocument/2006/relationships/chart" Target="../charts/chart17.xml"/><Relationship Id="rId16" Type="http://schemas.openxmlformats.org/officeDocument/2006/relationships/chart" Target="../charts/chart16.xml"/><Relationship Id="rId19" Type="http://schemas.openxmlformats.org/officeDocument/2006/relationships/chart" Target="../charts/chart19.xml"/><Relationship Id="rId1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434</xdr:row>
      <xdr:rowOff>123825</xdr:rowOff>
    </xdr:from>
    <xdr:ext cx="4543425" cy="28003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325</xdr:row>
      <xdr:rowOff>66675</xdr:rowOff>
    </xdr:from>
    <xdr:ext cx="4400550" cy="27241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828675</xdr:colOff>
      <xdr:row>434</xdr:row>
      <xdr:rowOff>142875</xdr:rowOff>
    </xdr:from>
    <xdr:ext cx="4476750" cy="28003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685800</xdr:colOff>
      <xdr:row>434</xdr:row>
      <xdr:rowOff>142875</xdr:rowOff>
    </xdr:from>
    <xdr:ext cx="4543425" cy="280035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952500</xdr:colOff>
      <xdr:row>339</xdr:row>
      <xdr:rowOff>85725</xdr:rowOff>
    </xdr:from>
    <xdr:ext cx="4400550" cy="2724150"/>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866775</xdr:colOff>
      <xdr:row>325</xdr:row>
      <xdr:rowOff>66675</xdr:rowOff>
    </xdr:from>
    <xdr:ext cx="4400550" cy="2724150"/>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952500</xdr:colOff>
      <xdr:row>325</xdr:row>
      <xdr:rowOff>66675</xdr:rowOff>
    </xdr:from>
    <xdr:ext cx="4400550" cy="2724150"/>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0</xdr:colOff>
      <xdr:row>339</xdr:row>
      <xdr:rowOff>85725</xdr:rowOff>
    </xdr:from>
    <xdr:ext cx="4400550" cy="2724150"/>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866775</xdr:colOff>
      <xdr:row>339</xdr:row>
      <xdr:rowOff>85725</xdr:rowOff>
    </xdr:from>
    <xdr:ext cx="4400550" cy="2724150"/>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209550</xdr:colOff>
      <xdr:row>355</xdr:row>
      <xdr:rowOff>38100</xdr:rowOff>
    </xdr:from>
    <xdr:ext cx="5715000" cy="3533775"/>
    <xdr:graphicFrame>
      <xdr:nvGraphicFramePr>
        <xdr:cNvPr id="10" name="Chart 10"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xdr:col>
      <xdr:colOff>66675</xdr:colOff>
      <xdr:row>374</xdr:row>
      <xdr:rowOff>66675</xdr:rowOff>
    </xdr:from>
    <xdr:ext cx="4400550" cy="2724150"/>
    <xdr:graphicFrame>
      <xdr:nvGraphicFramePr>
        <xdr:cNvPr id="11" name="Chart 11"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638175</xdr:colOff>
      <xdr:row>374</xdr:row>
      <xdr:rowOff>66675</xdr:rowOff>
    </xdr:from>
    <xdr:ext cx="4400550" cy="2724150"/>
    <xdr:graphicFrame>
      <xdr:nvGraphicFramePr>
        <xdr:cNvPr id="12" name="Chart 12" title="Gráfico"/>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685800</xdr:colOff>
      <xdr:row>374</xdr:row>
      <xdr:rowOff>66675</xdr:rowOff>
    </xdr:from>
    <xdr:ext cx="4400550" cy="2724150"/>
    <xdr:graphicFrame>
      <xdr:nvGraphicFramePr>
        <xdr:cNvPr id="13" name="Chart 13" title="Gráfico"/>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xdr:col>
      <xdr:colOff>1752600</xdr:colOff>
      <xdr:row>388</xdr:row>
      <xdr:rowOff>76200</xdr:rowOff>
    </xdr:from>
    <xdr:ext cx="4400550" cy="2724150"/>
    <xdr:graphicFrame>
      <xdr:nvGraphicFramePr>
        <xdr:cNvPr id="14" name="Chart 14" title="Gráfico"/>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5</xdr:col>
      <xdr:colOff>723900</xdr:colOff>
      <xdr:row>388</xdr:row>
      <xdr:rowOff>76200</xdr:rowOff>
    </xdr:from>
    <xdr:ext cx="4400550" cy="2724150"/>
    <xdr:graphicFrame>
      <xdr:nvGraphicFramePr>
        <xdr:cNvPr id="15" name="Chart 15" title="Gráfico"/>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xdr:col>
      <xdr:colOff>66675</xdr:colOff>
      <xdr:row>404</xdr:row>
      <xdr:rowOff>66675</xdr:rowOff>
    </xdr:from>
    <xdr:ext cx="4400550" cy="2724150"/>
    <xdr:graphicFrame>
      <xdr:nvGraphicFramePr>
        <xdr:cNvPr id="16" name="Chart 16" title="Gráfico"/>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3</xdr:col>
      <xdr:colOff>714375</xdr:colOff>
      <xdr:row>404</xdr:row>
      <xdr:rowOff>76200</xdr:rowOff>
    </xdr:from>
    <xdr:ext cx="4400550" cy="2724150"/>
    <xdr:graphicFrame>
      <xdr:nvGraphicFramePr>
        <xdr:cNvPr id="17" name="Chart 17" title="Gráfico"/>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6</xdr:col>
      <xdr:colOff>866775</xdr:colOff>
      <xdr:row>404</xdr:row>
      <xdr:rowOff>76200</xdr:rowOff>
    </xdr:from>
    <xdr:ext cx="4400550" cy="2724150"/>
    <xdr:graphicFrame>
      <xdr:nvGraphicFramePr>
        <xdr:cNvPr id="18" name="Chart 18" title="Gráfico"/>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xdr:col>
      <xdr:colOff>66675</xdr:colOff>
      <xdr:row>420</xdr:row>
      <xdr:rowOff>57150</xdr:rowOff>
    </xdr:from>
    <xdr:ext cx="4476750" cy="2724150"/>
    <xdr:graphicFrame>
      <xdr:nvGraphicFramePr>
        <xdr:cNvPr id="19" name="Chart 19" title="Gráfico"/>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3</xdr:col>
      <xdr:colOff>714375</xdr:colOff>
      <xdr:row>420</xdr:row>
      <xdr:rowOff>76200</xdr:rowOff>
    </xdr:from>
    <xdr:ext cx="4476750" cy="2724150"/>
    <xdr:graphicFrame>
      <xdr:nvGraphicFramePr>
        <xdr:cNvPr id="20" name="Chart 20" title="Gráfico"/>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6</xdr:col>
      <xdr:colOff>828675</xdr:colOff>
      <xdr:row>420</xdr:row>
      <xdr:rowOff>76200</xdr:rowOff>
    </xdr:from>
    <xdr:ext cx="4476750" cy="2724150"/>
    <xdr:graphicFrame>
      <xdr:nvGraphicFramePr>
        <xdr:cNvPr id="21" name="Chart 21" title="Gráfico"/>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1</xdr:col>
      <xdr:colOff>0</xdr:colOff>
      <xdr:row>450</xdr:row>
      <xdr:rowOff>85725</xdr:rowOff>
    </xdr:from>
    <xdr:ext cx="4543425" cy="2800350"/>
    <xdr:graphicFrame>
      <xdr:nvGraphicFramePr>
        <xdr:cNvPr id="22" name="Chart 22" title="Gráfico"/>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3</xdr:col>
      <xdr:colOff>714375</xdr:colOff>
      <xdr:row>450</xdr:row>
      <xdr:rowOff>85725</xdr:rowOff>
    </xdr:from>
    <xdr:ext cx="4543425" cy="2800350"/>
    <xdr:graphicFrame>
      <xdr:nvGraphicFramePr>
        <xdr:cNvPr id="23" name="Chart 23" title="Gráfico"/>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6</xdr:col>
      <xdr:colOff>819150</xdr:colOff>
      <xdr:row>450</xdr:row>
      <xdr:rowOff>85725</xdr:rowOff>
    </xdr:from>
    <xdr:ext cx="4543425" cy="2800350"/>
    <xdr:graphicFrame>
      <xdr:nvGraphicFramePr>
        <xdr:cNvPr id="24" name="Chart 24" title="Gráfico"/>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1</xdr:col>
      <xdr:colOff>0</xdr:colOff>
      <xdr:row>466</xdr:row>
      <xdr:rowOff>85725</xdr:rowOff>
    </xdr:from>
    <xdr:ext cx="4543425" cy="2800350"/>
    <xdr:graphicFrame>
      <xdr:nvGraphicFramePr>
        <xdr:cNvPr id="25" name="Chart 25" title="Gráfico"/>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3</xdr:col>
      <xdr:colOff>714375</xdr:colOff>
      <xdr:row>466</xdr:row>
      <xdr:rowOff>85725</xdr:rowOff>
    </xdr:from>
    <xdr:ext cx="4543425" cy="2800350"/>
    <xdr:graphicFrame>
      <xdr:nvGraphicFramePr>
        <xdr:cNvPr id="26" name="Chart 26" title="Gráfico"/>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6</xdr:col>
      <xdr:colOff>876300</xdr:colOff>
      <xdr:row>466</xdr:row>
      <xdr:rowOff>85725</xdr:rowOff>
    </xdr:from>
    <xdr:ext cx="4543425" cy="2800350"/>
    <xdr:graphicFrame>
      <xdr:nvGraphicFramePr>
        <xdr:cNvPr id="27" name="Chart 27" title="Gráfico"/>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3</xdr:col>
      <xdr:colOff>752475</xdr:colOff>
      <xdr:row>482</xdr:row>
      <xdr:rowOff>85725</xdr:rowOff>
    </xdr:from>
    <xdr:ext cx="4400550" cy="2724150"/>
    <xdr:graphicFrame>
      <xdr:nvGraphicFramePr>
        <xdr:cNvPr id="28" name="Chart 28" title="Gráfico"/>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1</xdr:col>
      <xdr:colOff>38100</xdr:colOff>
      <xdr:row>498</xdr:row>
      <xdr:rowOff>47625</xdr:rowOff>
    </xdr:from>
    <xdr:ext cx="4543425" cy="2800350"/>
    <xdr:graphicFrame>
      <xdr:nvGraphicFramePr>
        <xdr:cNvPr id="29" name="Chart 29" title="Gráfico"/>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3</xdr:col>
      <xdr:colOff>714375</xdr:colOff>
      <xdr:row>498</xdr:row>
      <xdr:rowOff>47625</xdr:rowOff>
    </xdr:from>
    <xdr:ext cx="4543425" cy="2800350"/>
    <xdr:graphicFrame>
      <xdr:nvGraphicFramePr>
        <xdr:cNvPr id="30" name="Chart 30" title="Gráfico"/>
        <xdr:cNvGraphicFramePr/>
      </xdr:nvGraphicFramePr>
      <xdr:xfrm>
        <a:off x="0" y="0"/>
        <a:ext cx="0" cy="0"/>
      </xdr:xfrm>
      <a:graphic>
        <a:graphicData uri="http://schemas.openxmlformats.org/drawingml/2006/chart">
          <c:chart r:id="rId30"/>
        </a:graphicData>
      </a:graphic>
    </xdr:graphicFrame>
    <xdr:clientData fLocksWithSheet="0"/>
  </xdr:oneCellAnchor>
  <xdr:oneCellAnchor>
    <xdr:from>
      <xdr:col>6</xdr:col>
      <xdr:colOff>819150</xdr:colOff>
      <xdr:row>498</xdr:row>
      <xdr:rowOff>47625</xdr:rowOff>
    </xdr:from>
    <xdr:ext cx="4543425" cy="2800350"/>
    <xdr:graphicFrame>
      <xdr:nvGraphicFramePr>
        <xdr:cNvPr id="31" name="Chart 31" title="Gráfico"/>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1</xdr:col>
      <xdr:colOff>38100</xdr:colOff>
      <xdr:row>512</xdr:row>
      <xdr:rowOff>190500</xdr:rowOff>
    </xdr:from>
    <xdr:ext cx="4543425" cy="2800350"/>
    <xdr:graphicFrame>
      <xdr:nvGraphicFramePr>
        <xdr:cNvPr id="32" name="Chart 32" title="Gráfico"/>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3</xdr:col>
      <xdr:colOff>714375</xdr:colOff>
      <xdr:row>512</xdr:row>
      <xdr:rowOff>190500</xdr:rowOff>
    </xdr:from>
    <xdr:ext cx="4543425" cy="2800350"/>
    <xdr:graphicFrame>
      <xdr:nvGraphicFramePr>
        <xdr:cNvPr id="33" name="Chart 33" title="Gráfico"/>
        <xdr:cNvGraphicFramePr/>
      </xdr:nvGraphicFramePr>
      <xdr:xfrm>
        <a:off x="0" y="0"/>
        <a:ext cx="0" cy="0"/>
      </xdr:xfrm>
      <a:graphic>
        <a:graphicData uri="http://schemas.openxmlformats.org/drawingml/2006/chart">
          <c:chart r:id="rId33"/>
        </a:graphicData>
      </a:graphic>
    </xdr:graphicFrame>
    <xdr:clientData fLocksWithSheet="0"/>
  </xdr:oneCellAnchor>
  <xdr:oneCellAnchor>
    <xdr:from>
      <xdr:col>6</xdr:col>
      <xdr:colOff>819150</xdr:colOff>
      <xdr:row>512</xdr:row>
      <xdr:rowOff>190500</xdr:rowOff>
    </xdr:from>
    <xdr:ext cx="4543425" cy="2800350"/>
    <xdr:graphicFrame>
      <xdr:nvGraphicFramePr>
        <xdr:cNvPr id="34" name="Chart 34" title="Gráfico"/>
        <xdr:cNvGraphicFramePr/>
      </xdr:nvGraphicFramePr>
      <xdr:xfrm>
        <a:off x="0" y="0"/>
        <a:ext cx="0" cy="0"/>
      </xdr:xfrm>
      <a:graphic>
        <a:graphicData uri="http://schemas.openxmlformats.org/drawingml/2006/chart">
          <c:chart r:id="rId34"/>
        </a:graphicData>
      </a:graphic>
    </xdr:graphicFrame>
    <xdr:clientData fLocksWithSheet="0"/>
  </xdr:oneCellAnchor>
  <xdr:oneCellAnchor>
    <xdr:from>
      <xdr:col>1</xdr:col>
      <xdr:colOff>1038225</xdr:colOff>
      <xdr:row>546</xdr:row>
      <xdr:rowOff>104775</xdr:rowOff>
    </xdr:from>
    <xdr:ext cx="4772025" cy="2943225"/>
    <xdr:graphicFrame>
      <xdr:nvGraphicFramePr>
        <xdr:cNvPr id="35" name="Chart 35" title="Gráfico"/>
        <xdr:cNvGraphicFramePr/>
      </xdr:nvGraphicFramePr>
      <xdr:xfrm>
        <a:off x="0" y="0"/>
        <a:ext cx="0" cy="0"/>
      </xdr:xfrm>
      <a:graphic>
        <a:graphicData uri="http://schemas.openxmlformats.org/drawingml/2006/chart">
          <c:chart r:id="rId35"/>
        </a:graphicData>
      </a:graphic>
    </xdr:graphicFrame>
    <xdr:clientData fLocksWithSheet="0"/>
  </xdr:oneCellAnchor>
  <xdr:oneCellAnchor>
    <xdr:from>
      <xdr:col>5</xdr:col>
      <xdr:colOff>542925</xdr:colOff>
      <xdr:row>546</xdr:row>
      <xdr:rowOff>114300</xdr:rowOff>
    </xdr:from>
    <xdr:ext cx="4772025" cy="2943225"/>
    <xdr:graphicFrame>
      <xdr:nvGraphicFramePr>
        <xdr:cNvPr id="36" name="Chart 36" title="Gráfico"/>
        <xdr:cNvGraphicFramePr/>
      </xdr:nvGraphicFramePr>
      <xdr:xfrm>
        <a:off x="0" y="0"/>
        <a:ext cx="0" cy="0"/>
      </xdr:xfrm>
      <a:graphic>
        <a:graphicData uri="http://schemas.openxmlformats.org/drawingml/2006/chart">
          <c:chart r:id="rId36"/>
        </a:graphicData>
      </a:graphic>
    </xdr:graphicFrame>
    <xdr:clientData fLocksWithSheet="0"/>
  </xdr:oneCellAnchor>
  <xdr:oneCellAnchor>
    <xdr:from>
      <xdr:col>1</xdr:col>
      <xdr:colOff>257175</xdr:colOff>
      <xdr:row>578</xdr:row>
      <xdr:rowOff>85725</xdr:rowOff>
    </xdr:from>
    <xdr:ext cx="4286250" cy="2647950"/>
    <xdr:graphicFrame>
      <xdr:nvGraphicFramePr>
        <xdr:cNvPr id="37" name="Chart 37" title="Gráfico"/>
        <xdr:cNvGraphicFramePr/>
      </xdr:nvGraphicFramePr>
      <xdr:xfrm>
        <a:off x="0" y="0"/>
        <a:ext cx="0" cy="0"/>
      </xdr:xfrm>
      <a:graphic>
        <a:graphicData uri="http://schemas.openxmlformats.org/drawingml/2006/chart">
          <c:chart r:id="rId37"/>
        </a:graphicData>
      </a:graphic>
    </xdr:graphicFrame>
    <xdr:clientData fLocksWithSheet="0"/>
  </xdr:oneCellAnchor>
  <xdr:oneCellAnchor>
    <xdr:from>
      <xdr:col>3</xdr:col>
      <xdr:colOff>771525</xdr:colOff>
      <xdr:row>578</xdr:row>
      <xdr:rowOff>85725</xdr:rowOff>
    </xdr:from>
    <xdr:ext cx="4286250" cy="2647950"/>
    <xdr:graphicFrame>
      <xdr:nvGraphicFramePr>
        <xdr:cNvPr id="38" name="Chart 38" title="Gráfico"/>
        <xdr:cNvGraphicFramePr/>
      </xdr:nvGraphicFramePr>
      <xdr:xfrm>
        <a:off x="0" y="0"/>
        <a:ext cx="0" cy="0"/>
      </xdr:xfrm>
      <a:graphic>
        <a:graphicData uri="http://schemas.openxmlformats.org/drawingml/2006/chart">
          <c:chart r:id="rId38"/>
        </a:graphicData>
      </a:graphic>
    </xdr:graphicFrame>
    <xdr:clientData fLocksWithSheet="0"/>
  </xdr:oneCellAnchor>
  <xdr:oneCellAnchor>
    <xdr:from>
      <xdr:col>6</xdr:col>
      <xdr:colOff>923925</xdr:colOff>
      <xdr:row>578</xdr:row>
      <xdr:rowOff>85725</xdr:rowOff>
    </xdr:from>
    <xdr:ext cx="4286250" cy="2647950"/>
    <xdr:graphicFrame>
      <xdr:nvGraphicFramePr>
        <xdr:cNvPr id="39" name="Chart 39" title="Gráfico"/>
        <xdr:cNvGraphicFramePr/>
      </xdr:nvGraphicFramePr>
      <xdr:xfrm>
        <a:off x="0" y="0"/>
        <a:ext cx="0" cy="0"/>
      </xdr:xfrm>
      <a:graphic>
        <a:graphicData uri="http://schemas.openxmlformats.org/drawingml/2006/chart">
          <c:chart r:id="rId39"/>
        </a:graphicData>
      </a:graphic>
    </xdr:graphicFrame>
    <xdr:clientData fLocksWithSheet="0"/>
  </xdr:oneCellAnchor>
  <xdr:oneCellAnchor>
    <xdr:from>
      <xdr:col>1</xdr:col>
      <xdr:colOff>257175</xdr:colOff>
      <xdr:row>607</xdr:row>
      <xdr:rowOff>47625</xdr:rowOff>
    </xdr:from>
    <xdr:ext cx="4286250" cy="2647950"/>
    <xdr:graphicFrame>
      <xdr:nvGraphicFramePr>
        <xdr:cNvPr id="40" name="Chart 40" title="Gráfico"/>
        <xdr:cNvGraphicFramePr/>
      </xdr:nvGraphicFramePr>
      <xdr:xfrm>
        <a:off x="0" y="0"/>
        <a:ext cx="0" cy="0"/>
      </xdr:xfrm>
      <a:graphic>
        <a:graphicData uri="http://schemas.openxmlformats.org/drawingml/2006/chart">
          <c:chart r:id="rId40"/>
        </a:graphicData>
      </a:graphic>
    </xdr:graphicFrame>
    <xdr:clientData fLocksWithSheet="0"/>
  </xdr:oneCellAnchor>
  <xdr:oneCellAnchor>
    <xdr:from>
      <xdr:col>3</xdr:col>
      <xdr:colOff>771525</xdr:colOff>
      <xdr:row>607</xdr:row>
      <xdr:rowOff>47625</xdr:rowOff>
    </xdr:from>
    <xdr:ext cx="4286250" cy="2647950"/>
    <xdr:graphicFrame>
      <xdr:nvGraphicFramePr>
        <xdr:cNvPr id="41" name="Chart 41" title="Gráfico"/>
        <xdr:cNvGraphicFramePr/>
      </xdr:nvGraphicFramePr>
      <xdr:xfrm>
        <a:off x="0" y="0"/>
        <a:ext cx="0" cy="0"/>
      </xdr:xfrm>
      <a:graphic>
        <a:graphicData uri="http://schemas.openxmlformats.org/drawingml/2006/chart">
          <c:chart r:id="rId41"/>
        </a:graphicData>
      </a:graphic>
    </xdr:graphicFrame>
    <xdr:clientData fLocksWithSheet="0"/>
  </xdr:oneCellAnchor>
  <xdr:oneCellAnchor>
    <xdr:from>
      <xdr:col>6</xdr:col>
      <xdr:colOff>952500</xdr:colOff>
      <xdr:row>607</xdr:row>
      <xdr:rowOff>47625</xdr:rowOff>
    </xdr:from>
    <xdr:ext cx="4286250" cy="2647950"/>
    <xdr:graphicFrame>
      <xdr:nvGraphicFramePr>
        <xdr:cNvPr id="42" name="Chart 42" title="Gráfico"/>
        <xdr:cNvGraphicFramePr/>
      </xdr:nvGraphicFramePr>
      <xdr:xfrm>
        <a:off x="0" y="0"/>
        <a:ext cx="0" cy="0"/>
      </xdr:xfrm>
      <a:graphic>
        <a:graphicData uri="http://schemas.openxmlformats.org/drawingml/2006/chart">
          <c:chart r:id="rId42"/>
        </a:graphicData>
      </a:graphic>
    </xdr:graphicFrame>
    <xdr:clientData fLocksWithSheet="0"/>
  </xdr:oneCellAnchor>
  <xdr:oneCellAnchor>
    <xdr:from>
      <xdr:col>1</xdr:col>
      <xdr:colOff>257175</xdr:colOff>
      <xdr:row>620</xdr:row>
      <xdr:rowOff>180975</xdr:rowOff>
    </xdr:from>
    <xdr:ext cx="4286250" cy="2647950"/>
    <xdr:graphicFrame>
      <xdr:nvGraphicFramePr>
        <xdr:cNvPr id="43" name="Chart 43" title="Gráfico"/>
        <xdr:cNvGraphicFramePr/>
      </xdr:nvGraphicFramePr>
      <xdr:xfrm>
        <a:off x="0" y="0"/>
        <a:ext cx="0" cy="0"/>
      </xdr:xfrm>
      <a:graphic>
        <a:graphicData uri="http://schemas.openxmlformats.org/drawingml/2006/chart">
          <c:chart r:id="rId43"/>
        </a:graphicData>
      </a:graphic>
    </xdr:graphicFrame>
    <xdr:clientData fLocksWithSheet="0"/>
  </xdr:oneCellAnchor>
  <xdr:oneCellAnchor>
    <xdr:from>
      <xdr:col>3</xdr:col>
      <xdr:colOff>771525</xdr:colOff>
      <xdr:row>620</xdr:row>
      <xdr:rowOff>180975</xdr:rowOff>
    </xdr:from>
    <xdr:ext cx="4286250" cy="2647950"/>
    <xdr:graphicFrame>
      <xdr:nvGraphicFramePr>
        <xdr:cNvPr id="44" name="Chart 44" title="Gráfico"/>
        <xdr:cNvGraphicFramePr/>
      </xdr:nvGraphicFramePr>
      <xdr:xfrm>
        <a:off x="0" y="0"/>
        <a:ext cx="0" cy="0"/>
      </xdr:xfrm>
      <a:graphic>
        <a:graphicData uri="http://schemas.openxmlformats.org/drawingml/2006/chart">
          <c:chart r:id="rId44"/>
        </a:graphicData>
      </a:graphic>
    </xdr:graphicFrame>
    <xdr:clientData fLocksWithSheet="0"/>
  </xdr:oneCellAnchor>
  <xdr:oneCellAnchor>
    <xdr:from>
      <xdr:col>6</xdr:col>
      <xdr:colOff>952500</xdr:colOff>
      <xdr:row>620</xdr:row>
      <xdr:rowOff>180975</xdr:rowOff>
    </xdr:from>
    <xdr:ext cx="4286250" cy="2647950"/>
    <xdr:graphicFrame>
      <xdr:nvGraphicFramePr>
        <xdr:cNvPr id="45" name="Chart 45" title="Gráfico"/>
        <xdr:cNvGraphicFramePr/>
      </xdr:nvGraphicFramePr>
      <xdr:xfrm>
        <a:off x="0" y="0"/>
        <a:ext cx="0" cy="0"/>
      </xdr:xfrm>
      <a:graphic>
        <a:graphicData uri="http://schemas.openxmlformats.org/drawingml/2006/chart">
          <c:chart r:id="rId45"/>
        </a:graphicData>
      </a:graphic>
    </xdr:graphicFrame>
    <xdr:clientData fLocksWithSheet="0"/>
  </xdr:oneCellAnchor>
  <xdr:oneCellAnchor>
    <xdr:from>
      <xdr:col>2</xdr:col>
      <xdr:colOff>209550</xdr:colOff>
      <xdr:row>634</xdr:row>
      <xdr:rowOff>104775</xdr:rowOff>
    </xdr:from>
    <xdr:ext cx="4286250" cy="2647950"/>
    <xdr:graphicFrame>
      <xdr:nvGraphicFramePr>
        <xdr:cNvPr id="46" name="Chart 46" title="Gráfico"/>
        <xdr:cNvGraphicFramePr/>
      </xdr:nvGraphicFramePr>
      <xdr:xfrm>
        <a:off x="0" y="0"/>
        <a:ext cx="0" cy="0"/>
      </xdr:xfrm>
      <a:graphic>
        <a:graphicData uri="http://schemas.openxmlformats.org/drawingml/2006/chart">
          <c:chart r:id="rId46"/>
        </a:graphicData>
      </a:graphic>
    </xdr:graphicFrame>
    <xdr:clientData fLocksWithSheet="0"/>
  </xdr:oneCellAnchor>
  <xdr:oneCellAnchor>
    <xdr:from>
      <xdr:col>5</xdr:col>
      <xdr:colOff>676275</xdr:colOff>
      <xdr:row>634</xdr:row>
      <xdr:rowOff>104775</xdr:rowOff>
    </xdr:from>
    <xdr:ext cx="4286250" cy="2647950"/>
    <xdr:graphicFrame>
      <xdr:nvGraphicFramePr>
        <xdr:cNvPr id="47" name="Chart 47" title="Gráfico"/>
        <xdr:cNvGraphicFramePr/>
      </xdr:nvGraphicFramePr>
      <xdr:xfrm>
        <a:off x="0" y="0"/>
        <a:ext cx="0" cy="0"/>
      </xdr:xfrm>
      <a:graphic>
        <a:graphicData uri="http://schemas.openxmlformats.org/drawingml/2006/chart">
          <c:chart r:id="rId47"/>
        </a:graphicData>
      </a:graphic>
    </xdr:graphicFrame>
    <xdr:clientData fLocksWithSheet="0"/>
  </xdr:oneCellAnchor>
  <xdr:oneCellAnchor>
    <xdr:from>
      <xdr:col>3</xdr:col>
      <xdr:colOff>752475</xdr:colOff>
      <xdr:row>530</xdr:row>
      <xdr:rowOff>66675</xdr:rowOff>
    </xdr:from>
    <xdr:ext cx="4400550" cy="2724150"/>
    <xdr:graphicFrame>
      <xdr:nvGraphicFramePr>
        <xdr:cNvPr id="48" name="Chart 48" title="Gráfico"/>
        <xdr:cNvGraphicFramePr/>
      </xdr:nvGraphicFramePr>
      <xdr:xfrm>
        <a:off x="0" y="0"/>
        <a:ext cx="0" cy="0"/>
      </xdr:xfrm>
      <a:graphic>
        <a:graphicData uri="http://schemas.openxmlformats.org/drawingml/2006/chart">
          <c:chart r:id="rId48"/>
        </a:graphicData>
      </a:graphic>
    </xdr:graphicFrame>
    <xdr:clientData fLocksWithSheet="0"/>
  </xdr:oneCellAnchor>
  <xdr:oneCellAnchor>
    <xdr:from>
      <xdr:col>3</xdr:col>
      <xdr:colOff>819150</xdr:colOff>
      <xdr:row>563</xdr:row>
      <xdr:rowOff>38100</xdr:rowOff>
    </xdr:from>
    <xdr:ext cx="4286250" cy="2647950"/>
    <xdr:graphicFrame>
      <xdr:nvGraphicFramePr>
        <xdr:cNvPr id="49" name="Chart 49" title="Gráfico"/>
        <xdr:cNvGraphicFramePr/>
      </xdr:nvGraphicFramePr>
      <xdr:xfrm>
        <a:off x="0" y="0"/>
        <a:ext cx="0" cy="0"/>
      </xdr:xfrm>
      <a:graphic>
        <a:graphicData uri="http://schemas.openxmlformats.org/drawingml/2006/chart">
          <c:chart r:id="rId49"/>
        </a:graphicData>
      </a:graphic>
    </xdr:graphicFrame>
    <xdr:clientData fLocksWithSheet="0"/>
  </xdr:oneCellAnchor>
  <xdr:oneCellAnchor>
    <xdr:from>
      <xdr:col>1</xdr:col>
      <xdr:colOff>257175</xdr:colOff>
      <xdr:row>592</xdr:row>
      <xdr:rowOff>47625</xdr:rowOff>
    </xdr:from>
    <xdr:ext cx="4286250" cy="2647950"/>
    <xdr:graphicFrame>
      <xdr:nvGraphicFramePr>
        <xdr:cNvPr id="50" name="Chart 50" title="Gráfico"/>
        <xdr:cNvGraphicFramePr/>
      </xdr:nvGraphicFramePr>
      <xdr:xfrm>
        <a:off x="0" y="0"/>
        <a:ext cx="0" cy="0"/>
      </xdr:xfrm>
      <a:graphic>
        <a:graphicData uri="http://schemas.openxmlformats.org/drawingml/2006/chart">
          <c:chart r:id="rId50"/>
        </a:graphicData>
      </a:graphic>
    </xdr:graphicFrame>
    <xdr:clientData fLocksWithSheet="0"/>
  </xdr:oneCellAnchor>
  <xdr:oneCellAnchor>
    <xdr:from>
      <xdr:col>3</xdr:col>
      <xdr:colOff>771525</xdr:colOff>
      <xdr:row>592</xdr:row>
      <xdr:rowOff>47625</xdr:rowOff>
    </xdr:from>
    <xdr:ext cx="4286250" cy="2647950"/>
    <xdr:graphicFrame>
      <xdr:nvGraphicFramePr>
        <xdr:cNvPr id="51" name="Chart 51" title="Gráfico"/>
        <xdr:cNvGraphicFramePr/>
      </xdr:nvGraphicFramePr>
      <xdr:xfrm>
        <a:off x="0" y="0"/>
        <a:ext cx="0" cy="0"/>
      </xdr:xfrm>
      <a:graphic>
        <a:graphicData uri="http://schemas.openxmlformats.org/drawingml/2006/chart">
          <c:chart r:id="rId51"/>
        </a:graphicData>
      </a:graphic>
    </xdr:graphicFrame>
    <xdr:clientData fLocksWithSheet="0"/>
  </xdr:oneCellAnchor>
  <xdr:oneCellAnchor>
    <xdr:from>
      <xdr:col>6</xdr:col>
      <xdr:colOff>866775</xdr:colOff>
      <xdr:row>592</xdr:row>
      <xdr:rowOff>47625</xdr:rowOff>
    </xdr:from>
    <xdr:ext cx="4286250" cy="2647950"/>
    <xdr:graphicFrame>
      <xdr:nvGraphicFramePr>
        <xdr:cNvPr id="52" name="Chart 52" title="Gráfico"/>
        <xdr:cNvGraphicFramePr/>
      </xdr:nvGraphicFramePr>
      <xdr:xfrm>
        <a:off x="0" y="0"/>
        <a:ext cx="0" cy="0"/>
      </xdr:xfrm>
      <a:graphic>
        <a:graphicData uri="http://schemas.openxmlformats.org/drawingml/2006/chart">
          <c:chart r:id="rId52"/>
        </a:graphicData>
      </a:graphic>
    </xdr:graphicFrame>
    <xdr:clientData fLocksWithSheet="0"/>
  </xdr:oneCellAnchor>
  <xdr:oneCellAnchor>
    <xdr:from>
      <xdr:col>6</xdr:col>
      <xdr:colOff>447675</xdr:colOff>
      <xdr:row>4</xdr:row>
      <xdr:rowOff>409575</xdr:rowOff>
    </xdr:from>
    <xdr:ext cx="1371600" cy="419100"/>
    <xdr:pic>
      <xdr:nvPicPr>
        <xdr:cNvPr id="0" name="image5.png" title="Imagen"/>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2219325</xdr:colOff>
      <xdr:row>4</xdr:row>
      <xdr:rowOff>419100</xdr:rowOff>
    </xdr:from>
    <xdr:ext cx="1371600" cy="419100"/>
    <xdr:pic>
      <xdr:nvPicPr>
        <xdr:cNvPr id="0" name="image6.png" title="Imagen"/>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76200</xdr:colOff>
      <xdr:row>4</xdr:row>
      <xdr:rowOff>409575</xdr:rowOff>
    </xdr:from>
    <xdr:ext cx="1504950" cy="419100"/>
    <xdr:pic>
      <xdr:nvPicPr>
        <xdr:cNvPr id="0" name="image1.png" title="Imagen"/>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1409700</xdr:colOff>
      <xdr:row>3</xdr:row>
      <xdr:rowOff>9525</xdr:rowOff>
    </xdr:from>
    <xdr:ext cx="1885950" cy="1628775"/>
    <xdr:pic>
      <xdr:nvPicPr>
        <xdr:cNvPr id="0" name="image2.png" title="Imagen"/>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161925</xdr:colOff>
      <xdr:row>3</xdr:row>
      <xdr:rowOff>19050</xdr:rowOff>
    </xdr:from>
    <xdr:ext cx="1962150" cy="1628775"/>
    <xdr:pic>
      <xdr:nvPicPr>
        <xdr:cNvPr id="0" name="image3.png" title="Imagen"/>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352425</xdr:colOff>
      <xdr:row>3</xdr:row>
      <xdr:rowOff>19050</xdr:rowOff>
    </xdr:from>
    <xdr:ext cx="1724025" cy="1628775"/>
    <xdr:pic>
      <xdr:nvPicPr>
        <xdr:cNvPr id="0" name="image4.png" title="Imagen"/>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7.png"/>
        <xdr:cNvPicPr preferRelativeResize="0"/>
      </xdr:nvPicPr>
      <xdr:blipFill>
        <a:blip cstate="print" r:embed="rId5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dro Costamagna" id="{a8aabd31-f770-43ba-84a0-b89bb0a61c58}" providerId="google-sheets"/>
  <x18tc:person displayName="Ezequiel Plaza" id="{5b0c5224-7c3d-4f04-987a-d103034d9e69}" providerId="google-sheets"/>
  <x18tc:person displayName="pcostamagna@ugr.edu.ar" id="{a7222ab1-7088-47a6-bfeb-eef0e0031b8f}" userId="pcostamagna@ugr.edu.ar"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4" dT="2026-02-03T13:50:05.00" personId="{5b0c5224-7c3d-4f04-987a-d103034d9e69}" id="{2de917a0-2ce2-4ae9-967d-b0e037e94260}" done="1">
    <x18tc:text xml:space="preserve">Agregar test de fuerza resistencia de sentadilla pistol a cajón con metrónomo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37" dT="2026-01-12T13:03:44.00" personId="{a8aabd31-f770-43ba-84a0-b89bb0a61c58}" id="{3d0490cf-af7c-42ef-8143-c288d6581169}" done="1">
    <x18tc:text xml:space="preserve">Agregar flexores de cadera</x18tc:text>
  </x18tc:threadedComment>
  <x18tc:threadedComment ref="B127" dT="2026-01-12T19:17:25.00" personId="{a8aabd31-f770-43ba-84a0-b89bb0a61c58}" id="{da6c31de-4d5e-4387-9ff5-6f02e1b51472}" done="1">
    <x18tc:text xml:space="preserve">Agregar VAS</x18tc:text>
  </x18tc:threadedComment>
  <x18tc:threadedComment ref="B107" dT="2026-01-12T19:17:16.00" personId="{a8aabd31-f770-43ba-84a0-b89bb0a61c58}" id="{0d9fe5ed-f951-469f-8996-38689aac8211}" done="1">
    <x18tc:text xml:space="preserve">Agregar VAS</x18tc:text>
  </x18tc:threadedComment>
  <x18tc:threadedComment ref="B107" dT="2026-01-12T13:05:28.00" personId="{a8aabd31-f770-43ba-84a0-b89bb0a61c58}" id="{0f92ed41-60b3-44ba-b852-324daaba1f13}" done="1">
    <x18tc:text xml:space="preserve">Agregar hombro.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3-17T17:53:35.00" personId="{5b0c5224-7c3d-4f04-987a-d103034d9e69}" id="{ef54f824-ac94-4767-9498-e5cd69030bde}" done="1">
    <x18tc:text xml:space="preserve">@pcostamagna@ugr.edu.ar</x18tc:text>
    <x18tc:mentions>
      <x18tc:mention mentionpersonId="{a7222ab1-7088-47a6-bfeb-eef0e0031b8f}" mentionId="{73eee170-7210-48d7-bee7-76373f4db547}"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17.63"/>
    <col customWidth="1" min="3" max="3" width="23.38"/>
  </cols>
  <sheetData>
    <row r="1">
      <c r="A1" s="1" t="s">
        <v>0</v>
      </c>
      <c r="B1" s="2"/>
      <c r="C1" s="3" t="s">
        <v>1</v>
      </c>
    </row>
    <row r="2">
      <c r="A2" s="4" t="s">
        <v>2</v>
      </c>
      <c r="B2" s="2"/>
      <c r="C2" s="5"/>
    </row>
    <row r="3">
      <c r="A3" s="4" t="s">
        <v>3</v>
      </c>
      <c r="B3" s="2"/>
      <c r="C3" s="6"/>
    </row>
    <row r="4">
      <c r="A4" s="4" t="s">
        <v>4</v>
      </c>
      <c r="B4" s="2"/>
      <c r="C4" s="5"/>
    </row>
    <row r="5">
      <c r="A5" s="4" t="s">
        <v>5</v>
      </c>
      <c r="B5" s="2"/>
      <c r="C5" s="5"/>
    </row>
    <row r="6">
      <c r="A6" s="4" t="s">
        <v>6</v>
      </c>
      <c r="B6" s="2"/>
      <c r="C6" s="5"/>
    </row>
    <row r="7">
      <c r="A7" s="4" t="s">
        <v>7</v>
      </c>
      <c r="B7" s="2"/>
      <c r="C7" s="5"/>
    </row>
    <row r="8">
      <c r="A8" s="7" t="s">
        <v>8</v>
      </c>
      <c r="B8" s="2"/>
      <c r="C8" s="8"/>
    </row>
    <row r="9">
      <c r="A9" s="7" t="s">
        <v>9</v>
      </c>
      <c r="B9" s="2"/>
      <c r="C9" s="8"/>
    </row>
    <row r="10">
      <c r="A10" s="4" t="s">
        <v>10</v>
      </c>
      <c r="B10" s="2"/>
      <c r="C10" s="5"/>
    </row>
    <row r="11">
      <c r="A11" s="7" t="s">
        <v>11</v>
      </c>
      <c r="B11" s="2"/>
      <c r="C11" s="9"/>
      <c r="D11" s="10" t="s">
        <v>12</v>
      </c>
    </row>
    <row r="12">
      <c r="A12" s="4" t="s">
        <v>13</v>
      </c>
      <c r="B12" s="2"/>
      <c r="C12" s="11"/>
    </row>
    <row r="13">
      <c r="A13" s="4" t="s">
        <v>14</v>
      </c>
      <c r="B13" s="2"/>
      <c r="C13" s="5"/>
    </row>
    <row r="14">
      <c r="A14" s="4" t="s">
        <v>15</v>
      </c>
      <c r="B14" s="2"/>
      <c r="C14" s="8"/>
    </row>
    <row r="15">
      <c r="A15" s="12" t="s">
        <v>16</v>
      </c>
      <c r="B15" s="13" t="s">
        <v>17</v>
      </c>
      <c r="C15" s="5"/>
    </row>
    <row r="16">
      <c r="A16" s="14"/>
      <c r="B16" s="13" t="s">
        <v>18</v>
      </c>
      <c r="C16" s="5"/>
    </row>
    <row r="17">
      <c r="A17" s="12" t="s">
        <v>19</v>
      </c>
      <c r="B17" s="15" t="s">
        <v>17</v>
      </c>
      <c r="C17" s="5"/>
    </row>
    <row r="18">
      <c r="A18" s="14"/>
      <c r="B18" s="15" t="s">
        <v>18</v>
      </c>
      <c r="C18" s="16"/>
    </row>
    <row r="19">
      <c r="A19" s="12" t="s">
        <v>20</v>
      </c>
      <c r="B19" s="15" t="s">
        <v>17</v>
      </c>
      <c r="C19" s="16"/>
    </row>
    <row r="20">
      <c r="A20" s="14"/>
      <c r="B20" s="15" t="s">
        <v>18</v>
      </c>
      <c r="C20" s="16"/>
    </row>
    <row r="21">
      <c r="A21" s="12" t="s">
        <v>21</v>
      </c>
      <c r="B21" s="15" t="s">
        <v>17</v>
      </c>
      <c r="C21" s="16"/>
    </row>
    <row r="22">
      <c r="A22" s="14"/>
      <c r="B22" s="15" t="s">
        <v>18</v>
      </c>
      <c r="C22" s="16"/>
    </row>
    <row r="23">
      <c r="A23" s="12" t="s">
        <v>22</v>
      </c>
      <c r="B23" s="15" t="s">
        <v>17</v>
      </c>
      <c r="C23" s="16"/>
    </row>
    <row r="24">
      <c r="A24" s="14"/>
      <c r="B24" s="15" t="s">
        <v>18</v>
      </c>
      <c r="C24" s="16"/>
    </row>
    <row r="25">
      <c r="A25" s="12" t="s">
        <v>23</v>
      </c>
      <c r="B25" s="15" t="s">
        <v>17</v>
      </c>
      <c r="C25" s="16"/>
    </row>
    <row r="26">
      <c r="A26" s="14"/>
      <c r="B26" s="15" t="s">
        <v>18</v>
      </c>
      <c r="C26" s="16"/>
    </row>
    <row r="27">
      <c r="A27" s="12" t="s">
        <v>24</v>
      </c>
      <c r="B27" s="13" t="s">
        <v>25</v>
      </c>
      <c r="C27" s="5"/>
    </row>
    <row r="28">
      <c r="A28" s="14"/>
      <c r="B28" s="13" t="s">
        <v>26</v>
      </c>
      <c r="C28" s="5"/>
    </row>
    <row r="29">
      <c r="A29" s="12" t="s">
        <v>27</v>
      </c>
      <c r="B29" s="17" t="s">
        <v>25</v>
      </c>
      <c r="C29" s="5"/>
    </row>
    <row r="30">
      <c r="A30" s="14"/>
      <c r="B30" s="17" t="s">
        <v>26</v>
      </c>
      <c r="C30" s="16"/>
    </row>
    <row r="31">
      <c r="A31" s="12" t="s">
        <v>28</v>
      </c>
      <c r="B31" s="13" t="s">
        <v>25</v>
      </c>
      <c r="C31" s="18"/>
    </row>
    <row r="32">
      <c r="A32" s="14"/>
      <c r="B32" s="13" t="s">
        <v>26</v>
      </c>
      <c r="C32" s="18"/>
    </row>
    <row r="33">
      <c r="A33" s="12" t="s">
        <v>29</v>
      </c>
      <c r="B33" s="17" t="s">
        <v>25</v>
      </c>
      <c r="C33" s="18"/>
    </row>
    <row r="34">
      <c r="A34" s="14"/>
      <c r="B34" s="17" t="s">
        <v>26</v>
      </c>
      <c r="C34" s="18"/>
    </row>
    <row r="35">
      <c r="A35" s="12" t="s">
        <v>30</v>
      </c>
      <c r="B35" s="19" t="s">
        <v>31</v>
      </c>
      <c r="C35" s="18"/>
    </row>
    <row r="36">
      <c r="A36" s="20"/>
      <c r="B36" s="19" t="s">
        <v>32</v>
      </c>
      <c r="C36" s="18"/>
    </row>
    <row r="37">
      <c r="A37" s="14"/>
      <c r="B37" s="19" t="s">
        <v>33</v>
      </c>
      <c r="C37" s="18"/>
    </row>
    <row r="38">
      <c r="A38" s="12" t="s">
        <v>34</v>
      </c>
      <c r="B38" s="19" t="s">
        <v>31</v>
      </c>
      <c r="C38" s="18"/>
    </row>
    <row r="39">
      <c r="A39" s="20"/>
      <c r="B39" s="19" t="s">
        <v>32</v>
      </c>
      <c r="C39" s="18"/>
    </row>
    <row r="40">
      <c r="A40" s="14"/>
      <c r="B40" s="19" t="s">
        <v>33</v>
      </c>
      <c r="C40" s="18"/>
    </row>
    <row r="41">
      <c r="A41" s="12" t="s">
        <v>35</v>
      </c>
      <c r="B41" s="15" t="s">
        <v>17</v>
      </c>
      <c r="C41" s="16"/>
    </row>
    <row r="42">
      <c r="A42" s="14"/>
      <c r="B42" s="15" t="s">
        <v>18</v>
      </c>
      <c r="C42" s="16"/>
    </row>
    <row r="43">
      <c r="A43" s="21" t="s">
        <v>36</v>
      </c>
      <c r="B43" s="15" t="s">
        <v>17</v>
      </c>
      <c r="C43" s="22"/>
    </row>
    <row r="44">
      <c r="A44" s="14"/>
      <c r="B44" s="15" t="s">
        <v>18</v>
      </c>
      <c r="C44" s="22"/>
    </row>
    <row r="45">
      <c r="A45" s="21" t="s">
        <v>37</v>
      </c>
      <c r="B45" s="15" t="s">
        <v>17</v>
      </c>
      <c r="C45" s="22"/>
    </row>
    <row r="46">
      <c r="A46" s="14"/>
      <c r="B46" s="15" t="s">
        <v>18</v>
      </c>
      <c r="C46" s="22"/>
    </row>
    <row r="47">
      <c r="A47" s="23" t="s">
        <v>38</v>
      </c>
      <c r="B47" s="15" t="s">
        <v>17</v>
      </c>
      <c r="C47" s="8"/>
    </row>
    <row r="48">
      <c r="A48" s="14"/>
      <c r="B48" s="15" t="s">
        <v>18</v>
      </c>
      <c r="C48" s="8"/>
    </row>
    <row r="49">
      <c r="A49" s="12" t="s">
        <v>39</v>
      </c>
      <c r="B49" s="19" t="s">
        <v>40</v>
      </c>
      <c r="C49" s="16"/>
    </row>
    <row r="50">
      <c r="A50" s="20"/>
      <c r="B50" s="19" t="s">
        <v>41</v>
      </c>
      <c r="C50" s="16"/>
    </row>
    <row r="51">
      <c r="A51" s="14"/>
      <c r="B51" s="19" t="s">
        <v>42</v>
      </c>
      <c r="C51" s="16"/>
    </row>
    <row r="52">
      <c r="A52" s="12" t="s">
        <v>43</v>
      </c>
      <c r="B52" s="19" t="s">
        <v>40</v>
      </c>
      <c r="C52" s="16"/>
    </row>
    <row r="53">
      <c r="A53" s="20"/>
      <c r="B53" s="19" t="s">
        <v>41</v>
      </c>
      <c r="C53" s="16"/>
    </row>
    <row r="54">
      <c r="A54" s="14"/>
      <c r="B54" s="19" t="s">
        <v>42</v>
      </c>
      <c r="C54" s="16"/>
    </row>
    <row r="55">
      <c r="A55" s="12" t="s">
        <v>44</v>
      </c>
      <c r="B55" s="19" t="s">
        <v>40</v>
      </c>
      <c r="C55" s="16"/>
    </row>
    <row r="56">
      <c r="A56" s="20"/>
      <c r="B56" s="19" t="s">
        <v>41</v>
      </c>
      <c r="C56" s="16"/>
    </row>
    <row r="57">
      <c r="A57" s="14"/>
      <c r="B57" s="19" t="s">
        <v>42</v>
      </c>
      <c r="C57" s="16"/>
    </row>
    <row r="58">
      <c r="A58" s="12" t="s">
        <v>45</v>
      </c>
      <c r="B58" s="19" t="s">
        <v>40</v>
      </c>
      <c r="C58" s="16"/>
    </row>
    <row r="59">
      <c r="A59" s="20"/>
      <c r="B59" s="19" t="s">
        <v>41</v>
      </c>
      <c r="C59" s="16"/>
    </row>
    <row r="60">
      <c r="A60" s="14"/>
      <c r="B60" s="19" t="s">
        <v>42</v>
      </c>
      <c r="C60" s="16"/>
    </row>
    <row r="61">
      <c r="A61" s="12" t="s">
        <v>46</v>
      </c>
      <c r="B61" s="19" t="s">
        <v>40</v>
      </c>
      <c r="C61" s="16"/>
    </row>
    <row r="62">
      <c r="A62" s="20"/>
      <c r="B62" s="19" t="s">
        <v>41</v>
      </c>
      <c r="C62" s="16"/>
    </row>
    <row r="63">
      <c r="A63" s="14"/>
      <c r="B63" s="19" t="s">
        <v>42</v>
      </c>
      <c r="C63" s="16"/>
    </row>
    <row r="64">
      <c r="A64" s="12" t="s">
        <v>47</v>
      </c>
      <c r="B64" s="19" t="s">
        <v>40</v>
      </c>
      <c r="C64" s="16"/>
    </row>
    <row r="65">
      <c r="A65" s="20"/>
      <c r="B65" s="19" t="s">
        <v>41</v>
      </c>
      <c r="C65" s="16"/>
    </row>
    <row r="66">
      <c r="A66" s="14"/>
      <c r="B66" s="19" t="s">
        <v>42</v>
      </c>
      <c r="C66" s="16"/>
    </row>
    <row r="67">
      <c r="A67" s="12" t="s">
        <v>48</v>
      </c>
      <c r="B67" s="19" t="s">
        <v>40</v>
      </c>
      <c r="C67" s="16"/>
    </row>
    <row r="68">
      <c r="A68" s="20"/>
      <c r="B68" s="19" t="s">
        <v>41</v>
      </c>
      <c r="C68" s="16"/>
    </row>
    <row r="69">
      <c r="A69" s="14"/>
      <c r="B69" s="19" t="s">
        <v>42</v>
      </c>
      <c r="C69" s="16"/>
    </row>
    <row r="70">
      <c r="A70" s="12" t="s">
        <v>49</v>
      </c>
      <c r="B70" s="19" t="s">
        <v>40</v>
      </c>
      <c r="C70" s="16"/>
    </row>
    <row r="71">
      <c r="A71" s="20"/>
      <c r="B71" s="19" t="s">
        <v>41</v>
      </c>
      <c r="C71" s="16"/>
    </row>
    <row r="72">
      <c r="A72" s="14"/>
      <c r="B72" s="19" t="s">
        <v>42</v>
      </c>
      <c r="C72" s="16"/>
    </row>
    <row r="73">
      <c r="A73" s="19" t="s">
        <v>50</v>
      </c>
      <c r="B73" s="19" t="s">
        <v>40</v>
      </c>
      <c r="C73" s="16"/>
    </row>
    <row r="74">
      <c r="A74" s="19" t="s">
        <v>51</v>
      </c>
      <c r="B74" s="19" t="s">
        <v>40</v>
      </c>
      <c r="C74" s="16"/>
    </row>
    <row r="75">
      <c r="A75" s="19" t="s">
        <v>52</v>
      </c>
      <c r="B75" s="19" t="s">
        <v>40</v>
      </c>
      <c r="C75" s="16"/>
    </row>
    <row r="76">
      <c r="A76" s="19" t="s">
        <v>53</v>
      </c>
      <c r="B76" s="19" t="s">
        <v>40</v>
      </c>
      <c r="C76" s="16"/>
    </row>
    <row r="77">
      <c r="A77" s="12" t="s">
        <v>54</v>
      </c>
      <c r="B77" s="19" t="s">
        <v>17</v>
      </c>
      <c r="C77" s="16"/>
    </row>
    <row r="78">
      <c r="A78" s="14"/>
      <c r="B78" s="19" t="s">
        <v>18</v>
      </c>
      <c r="C78" s="16"/>
    </row>
    <row r="79">
      <c r="A79" s="12" t="s">
        <v>55</v>
      </c>
      <c r="B79" s="19" t="s">
        <v>17</v>
      </c>
      <c r="C79" s="16"/>
    </row>
    <row r="80">
      <c r="A80" s="14"/>
      <c r="B80" s="19" t="s">
        <v>18</v>
      </c>
      <c r="C80" s="16"/>
    </row>
    <row r="81">
      <c r="A81" s="19" t="s">
        <v>56</v>
      </c>
      <c r="B81" s="19" t="s">
        <v>57</v>
      </c>
      <c r="C81" s="16"/>
    </row>
    <row r="82">
      <c r="A82" s="19" t="s">
        <v>58</v>
      </c>
      <c r="B82" s="19" t="s">
        <v>57</v>
      </c>
      <c r="C82" s="16"/>
    </row>
    <row r="83">
      <c r="A83" s="19" t="s">
        <v>59</v>
      </c>
      <c r="B83" s="19" t="s">
        <v>57</v>
      </c>
      <c r="C83" s="16"/>
    </row>
    <row r="84">
      <c r="A84" s="19" t="s">
        <v>60</v>
      </c>
      <c r="B84" s="19" t="s">
        <v>57</v>
      </c>
      <c r="C84" s="16"/>
    </row>
    <row r="85">
      <c r="A85" s="12" t="s">
        <v>61</v>
      </c>
      <c r="B85" s="19" t="s">
        <v>17</v>
      </c>
      <c r="C85" s="16"/>
    </row>
    <row r="86">
      <c r="A86" s="14"/>
      <c r="B86" s="19" t="s">
        <v>18</v>
      </c>
      <c r="C86" s="16"/>
    </row>
    <row r="87">
      <c r="A87" s="7" t="s">
        <v>62</v>
      </c>
      <c r="B87" s="2"/>
      <c r="C87" s="8"/>
    </row>
    <row r="88">
      <c r="A88" s="23" t="s">
        <v>63</v>
      </c>
      <c r="B88" s="24" t="s">
        <v>64</v>
      </c>
      <c r="C88" s="8"/>
    </row>
    <row r="89">
      <c r="A89" s="20"/>
      <c r="B89" s="24" t="s">
        <v>65</v>
      </c>
      <c r="C89" s="8"/>
    </row>
    <row r="90">
      <c r="A90" s="14"/>
      <c r="B90" s="24" t="s">
        <v>66</v>
      </c>
      <c r="C90" s="8"/>
    </row>
    <row r="91">
      <c r="A91" s="23" t="s">
        <v>67</v>
      </c>
      <c r="B91" s="24" t="s">
        <v>64</v>
      </c>
      <c r="C91" s="8"/>
    </row>
    <row r="92">
      <c r="A92" s="20"/>
      <c r="B92" s="24" t="s">
        <v>65</v>
      </c>
      <c r="C92" s="8"/>
    </row>
    <row r="93">
      <c r="A93" s="14"/>
      <c r="B93" s="24" t="s">
        <v>66</v>
      </c>
      <c r="C93" s="8"/>
    </row>
    <row r="94">
      <c r="A94" s="23" t="s">
        <v>68</v>
      </c>
      <c r="B94" s="24" t="s">
        <v>69</v>
      </c>
      <c r="C94" s="8"/>
    </row>
    <row r="95">
      <c r="A95" s="14"/>
      <c r="B95" s="24" t="s">
        <v>70</v>
      </c>
      <c r="C95" s="8"/>
    </row>
    <row r="96">
      <c r="A96" s="23" t="s">
        <v>71</v>
      </c>
      <c r="B96" s="24" t="s">
        <v>69</v>
      </c>
      <c r="C96" s="8"/>
    </row>
    <row r="97">
      <c r="A97" s="14"/>
      <c r="B97" s="24" t="s">
        <v>70</v>
      </c>
      <c r="C97" s="8"/>
    </row>
    <row r="98">
      <c r="A98" s="23" t="s">
        <v>72</v>
      </c>
      <c r="B98" s="24" t="s">
        <v>73</v>
      </c>
      <c r="C98" s="8"/>
    </row>
    <row r="99">
      <c r="A99" s="14"/>
      <c r="B99" s="24" t="s">
        <v>74</v>
      </c>
      <c r="C99" s="8"/>
    </row>
    <row r="100">
      <c r="A100" s="23" t="s">
        <v>75</v>
      </c>
      <c r="B100" s="24" t="s">
        <v>73</v>
      </c>
      <c r="C100" s="8"/>
    </row>
    <row r="101">
      <c r="A101" s="14"/>
      <c r="B101" s="24" t="s">
        <v>74</v>
      </c>
      <c r="C101" s="8"/>
    </row>
    <row r="102">
      <c r="A102" s="21" t="s">
        <v>76</v>
      </c>
      <c r="B102" s="15" t="s">
        <v>17</v>
      </c>
      <c r="C102" s="8"/>
    </row>
    <row r="103">
      <c r="A103" s="14"/>
      <c r="B103" s="15" t="s">
        <v>18</v>
      </c>
      <c r="C103" s="8"/>
    </row>
    <row r="104">
      <c r="A104" s="21" t="s">
        <v>76</v>
      </c>
      <c r="B104" s="17" t="s">
        <v>77</v>
      </c>
      <c r="C104" s="8"/>
    </row>
    <row r="105">
      <c r="A105" s="14"/>
      <c r="B105" s="17" t="s">
        <v>78</v>
      </c>
      <c r="C105" s="8"/>
    </row>
    <row r="106">
      <c r="A106" s="21" t="s">
        <v>79</v>
      </c>
      <c r="B106" s="15" t="s">
        <v>17</v>
      </c>
      <c r="C106" s="8"/>
    </row>
    <row r="107">
      <c r="A107" s="14"/>
      <c r="B107" s="15" t="s">
        <v>18</v>
      </c>
      <c r="C107" s="8"/>
    </row>
    <row r="108">
      <c r="A108" s="23" t="s">
        <v>80</v>
      </c>
      <c r="B108" s="15" t="s">
        <v>17</v>
      </c>
      <c r="C108" s="25"/>
    </row>
    <row r="109">
      <c r="A109" s="14"/>
      <c r="B109" s="15" t="s">
        <v>18</v>
      </c>
      <c r="C109" s="25"/>
    </row>
    <row r="110">
      <c r="A110" s="21" t="s">
        <v>81</v>
      </c>
      <c r="B110" s="15" t="s">
        <v>17</v>
      </c>
      <c r="C110" s="8"/>
    </row>
    <row r="111">
      <c r="A111" s="14"/>
      <c r="B111" s="15" t="s">
        <v>18</v>
      </c>
      <c r="C111" s="8"/>
    </row>
    <row r="112">
      <c r="A112" s="23" t="s">
        <v>82</v>
      </c>
      <c r="B112" s="15" t="s">
        <v>17</v>
      </c>
      <c r="C112" s="25"/>
    </row>
    <row r="113">
      <c r="A113" s="14"/>
      <c r="B113" s="15" t="s">
        <v>18</v>
      </c>
      <c r="C113" s="25"/>
    </row>
    <row r="114">
      <c r="A114" s="23" t="s">
        <v>83</v>
      </c>
      <c r="B114" s="15" t="s">
        <v>17</v>
      </c>
      <c r="C114" s="26"/>
    </row>
    <row r="115">
      <c r="A115" s="14"/>
      <c r="B115" s="15" t="s">
        <v>18</v>
      </c>
      <c r="C115" s="26"/>
    </row>
    <row r="116">
      <c r="A116" s="23" t="s">
        <v>84</v>
      </c>
      <c r="B116" s="15" t="s">
        <v>17</v>
      </c>
      <c r="C116" s="25"/>
    </row>
    <row r="117">
      <c r="A117" s="14"/>
      <c r="B117" s="15" t="s">
        <v>18</v>
      </c>
      <c r="C117" s="25"/>
    </row>
    <row r="118">
      <c r="A118" s="23" t="s">
        <v>85</v>
      </c>
      <c r="B118" s="15" t="s">
        <v>17</v>
      </c>
      <c r="C118" s="26"/>
    </row>
    <row r="119">
      <c r="A119" s="14"/>
      <c r="B119" s="15" t="s">
        <v>18</v>
      </c>
      <c r="C119" s="26"/>
    </row>
    <row r="120">
      <c r="A120" s="23" t="s">
        <v>86</v>
      </c>
      <c r="B120" s="15" t="s">
        <v>17</v>
      </c>
      <c r="C120" s="25"/>
    </row>
    <row r="121">
      <c r="A121" s="14"/>
      <c r="B121" s="15" t="s">
        <v>18</v>
      </c>
      <c r="C121" s="25"/>
    </row>
    <row r="122">
      <c r="A122" s="23" t="s">
        <v>87</v>
      </c>
      <c r="B122" s="17" t="s">
        <v>88</v>
      </c>
      <c r="C122" s="26"/>
    </row>
    <row r="123">
      <c r="A123" s="14"/>
      <c r="B123" s="17" t="s">
        <v>89</v>
      </c>
      <c r="C123" s="25"/>
    </row>
    <row r="124">
      <c r="A124" s="23" t="s">
        <v>90</v>
      </c>
      <c r="B124" s="17" t="s">
        <v>88</v>
      </c>
      <c r="C124" s="26"/>
    </row>
    <row r="125">
      <c r="A125" s="14"/>
      <c r="B125" s="17" t="s">
        <v>89</v>
      </c>
      <c r="C125" s="25"/>
    </row>
    <row r="126">
      <c r="A126" s="23" t="s">
        <v>91</v>
      </c>
      <c r="B126" s="15" t="s">
        <v>17</v>
      </c>
      <c r="C126" s="27"/>
    </row>
    <row r="127">
      <c r="A127" s="14"/>
      <c r="B127" s="15" t="s">
        <v>18</v>
      </c>
      <c r="C127" s="27"/>
    </row>
    <row r="128">
      <c r="A128" s="23" t="s">
        <v>92</v>
      </c>
      <c r="B128" s="15" t="s">
        <v>17</v>
      </c>
      <c r="C128" s="25"/>
    </row>
    <row r="129">
      <c r="A129" s="14"/>
      <c r="B129" s="15" t="s">
        <v>18</v>
      </c>
      <c r="C129" s="25"/>
    </row>
    <row r="130">
      <c r="A130" s="23" t="s">
        <v>93</v>
      </c>
      <c r="B130" s="15" t="s">
        <v>17</v>
      </c>
      <c r="C130" s="27"/>
    </row>
    <row r="131">
      <c r="A131" s="14"/>
      <c r="B131" s="15" t="s">
        <v>18</v>
      </c>
      <c r="C131" s="27"/>
    </row>
    <row r="132">
      <c r="A132" s="23" t="s">
        <v>94</v>
      </c>
      <c r="B132" s="15" t="s">
        <v>17</v>
      </c>
      <c r="C132" s="25"/>
    </row>
    <row r="133">
      <c r="A133" s="14"/>
      <c r="B133" s="15" t="s">
        <v>18</v>
      </c>
      <c r="C133" s="25"/>
    </row>
    <row r="134">
      <c r="A134" s="28" t="s">
        <v>95</v>
      </c>
      <c r="B134" s="28" t="s">
        <v>57</v>
      </c>
      <c r="C134" s="26"/>
    </row>
    <row r="135">
      <c r="A135" s="19" t="s">
        <v>96</v>
      </c>
      <c r="B135" s="19" t="s">
        <v>57</v>
      </c>
      <c r="C135" s="29"/>
    </row>
    <row r="136">
      <c r="A136" s="12" t="s">
        <v>97</v>
      </c>
      <c r="B136" s="15" t="s">
        <v>17</v>
      </c>
      <c r="C136" s="16"/>
    </row>
    <row r="137">
      <c r="A137" s="14"/>
      <c r="B137" s="15" t="s">
        <v>18</v>
      </c>
      <c r="C137" s="16"/>
    </row>
    <row r="138">
      <c r="A138" s="12" t="s">
        <v>98</v>
      </c>
      <c r="B138" s="15" t="s">
        <v>17</v>
      </c>
      <c r="C138" s="29"/>
      <c r="D138" s="10"/>
      <c r="E138" s="10"/>
    </row>
    <row r="139">
      <c r="A139" s="14"/>
      <c r="B139" s="15" t="s">
        <v>18</v>
      </c>
      <c r="C139" s="29"/>
      <c r="D139" s="10"/>
      <c r="E139" s="10"/>
    </row>
    <row r="140">
      <c r="A140" s="12" t="s">
        <v>99</v>
      </c>
      <c r="B140" s="15" t="s">
        <v>17</v>
      </c>
      <c r="C140" s="16"/>
      <c r="D140" s="10"/>
      <c r="E140" s="10"/>
    </row>
    <row r="141">
      <c r="A141" s="14"/>
      <c r="B141" s="15" t="s">
        <v>18</v>
      </c>
      <c r="C141" s="16"/>
      <c r="D141" s="10"/>
      <c r="E141" s="10"/>
    </row>
    <row r="142">
      <c r="A142" s="12" t="s">
        <v>100</v>
      </c>
      <c r="B142" s="15" t="s">
        <v>17</v>
      </c>
      <c r="C142" s="29"/>
    </row>
    <row r="143">
      <c r="A143" s="14"/>
      <c r="B143" s="15" t="s">
        <v>18</v>
      </c>
      <c r="C143" s="29"/>
    </row>
    <row r="144">
      <c r="A144" s="21" t="s">
        <v>101</v>
      </c>
      <c r="B144" s="15" t="s">
        <v>17</v>
      </c>
      <c r="C144" s="8"/>
    </row>
    <row r="145">
      <c r="A145" s="14"/>
      <c r="B145" s="15" t="s">
        <v>18</v>
      </c>
      <c r="C145" s="8"/>
    </row>
    <row r="146">
      <c r="A146" s="12" t="s">
        <v>102</v>
      </c>
      <c r="B146" s="15" t="s">
        <v>17</v>
      </c>
      <c r="C146" s="29"/>
    </row>
    <row r="147">
      <c r="A147" s="14"/>
      <c r="B147" s="15" t="s">
        <v>18</v>
      </c>
      <c r="C147" s="29"/>
    </row>
    <row r="148">
      <c r="A148" s="21" t="s">
        <v>103</v>
      </c>
      <c r="B148" s="15" t="s">
        <v>17</v>
      </c>
      <c r="C148" s="8"/>
    </row>
    <row r="149">
      <c r="A149" s="14"/>
      <c r="B149" s="15" t="s">
        <v>18</v>
      </c>
      <c r="C149" s="8"/>
    </row>
    <row r="150">
      <c r="A150" s="12" t="s">
        <v>104</v>
      </c>
      <c r="B150" s="15" t="s">
        <v>17</v>
      </c>
      <c r="C150" s="29"/>
    </row>
    <row r="151">
      <c r="A151" s="14"/>
      <c r="B151" s="15" t="s">
        <v>18</v>
      </c>
      <c r="C151" s="29"/>
    </row>
    <row r="152">
      <c r="A152" s="12" t="s">
        <v>105</v>
      </c>
      <c r="B152" s="15" t="s">
        <v>17</v>
      </c>
      <c r="C152" s="16"/>
    </row>
    <row r="153">
      <c r="A153" s="14"/>
      <c r="B153" s="15" t="s">
        <v>18</v>
      </c>
      <c r="C153" s="16"/>
    </row>
    <row r="154">
      <c r="A154" s="12" t="s">
        <v>106</v>
      </c>
      <c r="B154" s="15" t="s">
        <v>17</v>
      </c>
      <c r="C154" s="29"/>
    </row>
    <row r="155">
      <c r="A155" s="14"/>
      <c r="B155" s="15" t="s">
        <v>18</v>
      </c>
      <c r="C155" s="29"/>
    </row>
    <row r="156">
      <c r="A156" s="23" t="s">
        <v>107</v>
      </c>
      <c r="B156" s="15" t="s">
        <v>17</v>
      </c>
      <c r="C156" s="8"/>
    </row>
    <row r="157">
      <c r="A157" s="14"/>
      <c r="B157" s="15" t="s">
        <v>18</v>
      </c>
      <c r="C157" s="8"/>
    </row>
    <row r="158">
      <c r="A158" s="12" t="s">
        <v>108</v>
      </c>
      <c r="B158" s="15" t="s">
        <v>17</v>
      </c>
      <c r="C158" s="29"/>
    </row>
    <row r="159">
      <c r="A159" s="14"/>
      <c r="B159" s="15" t="s">
        <v>18</v>
      </c>
      <c r="C159" s="29"/>
    </row>
    <row r="160">
      <c r="A160" s="23" t="s">
        <v>109</v>
      </c>
      <c r="B160" s="15" t="s">
        <v>17</v>
      </c>
      <c r="C160" s="8"/>
    </row>
    <row r="161">
      <c r="A161" s="14"/>
      <c r="B161" s="15" t="s">
        <v>18</v>
      </c>
      <c r="C161" s="8"/>
    </row>
    <row r="162">
      <c r="A162" s="12" t="s">
        <v>110</v>
      </c>
      <c r="B162" s="15" t="s">
        <v>17</v>
      </c>
      <c r="C162" s="29"/>
    </row>
    <row r="163">
      <c r="A163" s="14"/>
      <c r="B163" s="15" t="s">
        <v>18</v>
      </c>
      <c r="C163" s="29"/>
    </row>
    <row r="164">
      <c r="A164" s="23" t="s">
        <v>111</v>
      </c>
      <c r="B164" s="17" t="s">
        <v>112</v>
      </c>
      <c r="C164" s="26"/>
    </row>
    <row r="165">
      <c r="A165" s="20"/>
      <c r="B165" s="17" t="s">
        <v>113</v>
      </c>
      <c r="C165" s="26"/>
    </row>
    <row r="166">
      <c r="A166" s="14"/>
      <c r="B166" s="17" t="s">
        <v>114</v>
      </c>
      <c r="C166" s="26"/>
    </row>
    <row r="167">
      <c r="A167" s="23" t="s">
        <v>115</v>
      </c>
      <c r="B167" s="15" t="s">
        <v>17</v>
      </c>
      <c r="C167" s="8"/>
    </row>
    <row r="168">
      <c r="A168" s="14"/>
      <c r="B168" s="15" t="s">
        <v>18</v>
      </c>
      <c r="C168" s="8"/>
    </row>
    <row r="169">
      <c r="A169" s="12" t="s">
        <v>116</v>
      </c>
      <c r="B169" s="15" t="s">
        <v>17</v>
      </c>
      <c r="C169" s="29"/>
    </row>
    <row r="170">
      <c r="A170" s="14"/>
      <c r="B170" s="15" t="s">
        <v>18</v>
      </c>
      <c r="C170" s="29"/>
    </row>
    <row r="171">
      <c r="A171" s="23" t="s">
        <v>117</v>
      </c>
      <c r="B171" s="15" t="s">
        <v>17</v>
      </c>
      <c r="C171" s="8"/>
    </row>
    <row r="172">
      <c r="A172" s="14"/>
      <c r="B172" s="15" t="s">
        <v>18</v>
      </c>
      <c r="C172" s="8"/>
    </row>
    <row r="173">
      <c r="A173" s="12" t="s">
        <v>118</v>
      </c>
      <c r="B173" s="15" t="s">
        <v>17</v>
      </c>
      <c r="C173" s="29"/>
    </row>
    <row r="174">
      <c r="A174" s="14"/>
      <c r="B174" s="15" t="s">
        <v>18</v>
      </c>
      <c r="C174" s="29"/>
    </row>
    <row r="175">
      <c r="A175" s="23" t="s">
        <v>119</v>
      </c>
      <c r="B175" s="15" t="s">
        <v>17</v>
      </c>
      <c r="C175" s="8"/>
    </row>
    <row r="176">
      <c r="A176" s="14"/>
      <c r="B176" s="15" t="s">
        <v>18</v>
      </c>
      <c r="C176" s="8"/>
    </row>
    <row r="177">
      <c r="A177" s="12" t="s">
        <v>120</v>
      </c>
      <c r="B177" s="15" t="s">
        <v>17</v>
      </c>
      <c r="C177" s="29"/>
    </row>
    <row r="178">
      <c r="A178" s="14"/>
      <c r="B178" s="15" t="s">
        <v>18</v>
      </c>
      <c r="C178" s="29"/>
    </row>
    <row r="179">
      <c r="A179" s="23" t="s">
        <v>121</v>
      </c>
      <c r="B179" s="15" t="s">
        <v>17</v>
      </c>
      <c r="C179" s="8"/>
    </row>
    <row r="180">
      <c r="A180" s="14"/>
      <c r="B180" s="15" t="s">
        <v>18</v>
      </c>
      <c r="C180" s="8"/>
    </row>
    <row r="181">
      <c r="A181" s="12" t="s">
        <v>122</v>
      </c>
      <c r="B181" s="15" t="s">
        <v>17</v>
      </c>
      <c r="C181" s="29"/>
    </row>
    <row r="182">
      <c r="A182" s="14"/>
      <c r="B182" s="15" t="s">
        <v>18</v>
      </c>
      <c r="C182" s="29"/>
    </row>
    <row r="183">
      <c r="A183" s="23" t="s">
        <v>123</v>
      </c>
      <c r="B183" s="15" t="s">
        <v>17</v>
      </c>
      <c r="C183" s="8"/>
    </row>
    <row r="184">
      <c r="A184" s="14"/>
      <c r="B184" s="15" t="s">
        <v>18</v>
      </c>
      <c r="C184" s="8"/>
    </row>
    <row r="185">
      <c r="A185" s="12" t="s">
        <v>124</v>
      </c>
      <c r="B185" s="15" t="s">
        <v>17</v>
      </c>
      <c r="C185" s="29"/>
    </row>
    <row r="186">
      <c r="A186" s="14"/>
      <c r="B186" s="15" t="s">
        <v>18</v>
      </c>
      <c r="C186" s="29"/>
    </row>
    <row r="187">
      <c r="A187" s="30" t="s">
        <v>125</v>
      </c>
      <c r="B187" s="15" t="s">
        <v>17</v>
      </c>
      <c r="C187" s="29"/>
      <c r="D187" s="10"/>
    </row>
    <row r="188">
      <c r="A188" s="31"/>
      <c r="B188" s="15" t="s">
        <v>18</v>
      </c>
      <c r="C188" s="29"/>
      <c r="D188" s="10"/>
    </row>
    <row r="189">
      <c r="A189" s="12" t="s">
        <v>126</v>
      </c>
      <c r="B189" s="17" t="s">
        <v>127</v>
      </c>
      <c r="C189" s="29"/>
      <c r="D189" s="10" t="s">
        <v>128</v>
      </c>
    </row>
    <row r="190">
      <c r="A190" s="14"/>
      <c r="B190" s="17" t="s">
        <v>129</v>
      </c>
      <c r="C190" s="29"/>
    </row>
    <row r="191">
      <c r="A191" s="12" t="s">
        <v>130</v>
      </c>
      <c r="B191" s="17" t="s">
        <v>127</v>
      </c>
      <c r="C191" s="29"/>
      <c r="D191" s="10" t="s">
        <v>131</v>
      </c>
    </row>
    <row r="192">
      <c r="A192" s="14"/>
      <c r="B192" s="17" t="s">
        <v>129</v>
      </c>
      <c r="C192" s="29"/>
    </row>
    <row r="193">
      <c r="A193" s="12" t="s">
        <v>132</v>
      </c>
      <c r="B193" s="17" t="s">
        <v>127</v>
      </c>
      <c r="C193" s="29"/>
    </row>
    <row r="194">
      <c r="A194" s="14"/>
      <c r="B194" s="17" t="s">
        <v>129</v>
      </c>
      <c r="C194" s="29"/>
    </row>
    <row r="195">
      <c r="A195" s="12" t="s">
        <v>133</v>
      </c>
      <c r="B195" s="17" t="s">
        <v>127</v>
      </c>
      <c r="C195" s="29"/>
    </row>
    <row r="196">
      <c r="A196" s="14"/>
      <c r="B196" s="17" t="s">
        <v>129</v>
      </c>
      <c r="C196" s="29"/>
    </row>
    <row r="197">
      <c r="A197" s="23" t="s">
        <v>134</v>
      </c>
      <c r="B197" s="24" t="s">
        <v>17</v>
      </c>
      <c r="C197" s="8"/>
    </row>
    <row r="198">
      <c r="A198" s="14"/>
      <c r="B198" s="24" t="s">
        <v>18</v>
      </c>
      <c r="C198" s="8"/>
    </row>
    <row r="199">
      <c r="A199" s="28" t="s">
        <v>135</v>
      </c>
      <c r="B199" s="32" t="s">
        <v>57</v>
      </c>
      <c r="C199" s="26"/>
    </row>
    <row r="200">
      <c r="A200" s="23" t="s">
        <v>136</v>
      </c>
      <c r="B200" s="33" t="s">
        <v>17</v>
      </c>
      <c r="C200" s="26"/>
    </row>
    <row r="201">
      <c r="A201" s="14"/>
      <c r="B201" s="33" t="s">
        <v>18</v>
      </c>
      <c r="C201" s="26"/>
    </row>
    <row r="202">
      <c r="A202" s="28" t="s">
        <v>137</v>
      </c>
      <c r="B202" s="32" t="s">
        <v>57</v>
      </c>
      <c r="C202" s="26"/>
    </row>
    <row r="203">
      <c r="A203" s="23" t="s">
        <v>138</v>
      </c>
      <c r="B203" s="33" t="s">
        <v>17</v>
      </c>
      <c r="C203" s="26"/>
    </row>
    <row r="204">
      <c r="A204" s="14"/>
      <c r="B204" s="33" t="s">
        <v>18</v>
      </c>
      <c r="C204" s="26"/>
    </row>
    <row r="205">
      <c r="A205" s="28" t="s">
        <v>139</v>
      </c>
      <c r="B205" s="32" t="s">
        <v>57</v>
      </c>
      <c r="C205" s="26"/>
    </row>
    <row r="206">
      <c r="A206" s="23" t="s">
        <v>140</v>
      </c>
      <c r="B206" s="33" t="s">
        <v>17</v>
      </c>
      <c r="C206" s="26"/>
    </row>
    <row r="207">
      <c r="A207" s="14"/>
      <c r="B207" s="33" t="s">
        <v>18</v>
      </c>
      <c r="C207" s="26"/>
    </row>
    <row r="208">
      <c r="A208" s="28" t="s">
        <v>141</v>
      </c>
      <c r="B208" s="28" t="s">
        <v>57</v>
      </c>
      <c r="C208" s="26"/>
    </row>
    <row r="209">
      <c r="A209" s="28" t="s">
        <v>142</v>
      </c>
      <c r="B209" s="24" t="s">
        <v>143</v>
      </c>
      <c r="C209" s="8"/>
    </row>
    <row r="210">
      <c r="A210" s="23" t="s">
        <v>144</v>
      </c>
      <c r="B210" s="24" t="s">
        <v>17</v>
      </c>
      <c r="C210" s="8"/>
    </row>
    <row r="211">
      <c r="A211" s="14"/>
      <c r="B211" s="24" t="s">
        <v>18</v>
      </c>
      <c r="C211" s="8"/>
    </row>
    <row r="212">
      <c r="A212" s="23" t="s">
        <v>145</v>
      </c>
      <c r="B212" s="24" t="s">
        <v>17</v>
      </c>
      <c r="C212" s="8"/>
    </row>
    <row r="213">
      <c r="A213" s="14"/>
      <c r="B213" s="24" t="s">
        <v>18</v>
      </c>
      <c r="C213" s="8"/>
    </row>
    <row r="214">
      <c r="A214" s="23" t="s">
        <v>146</v>
      </c>
      <c r="B214" s="24" t="s">
        <v>17</v>
      </c>
      <c r="C214" s="8"/>
    </row>
    <row r="215">
      <c r="A215" s="14"/>
      <c r="B215" s="24" t="s">
        <v>18</v>
      </c>
      <c r="C215" s="8"/>
    </row>
    <row r="216">
      <c r="A216" s="28" t="s">
        <v>147</v>
      </c>
      <c r="B216" s="28" t="s">
        <v>57</v>
      </c>
      <c r="C216" s="8"/>
    </row>
    <row r="217">
      <c r="A217" s="23" t="s">
        <v>148</v>
      </c>
      <c r="B217" s="24" t="s">
        <v>17</v>
      </c>
      <c r="C217" s="8"/>
    </row>
    <row r="218">
      <c r="A218" s="14"/>
      <c r="B218" s="24" t="s">
        <v>18</v>
      </c>
      <c r="C218" s="8"/>
    </row>
    <row r="219">
      <c r="A219" s="23" t="s">
        <v>149</v>
      </c>
      <c r="B219" s="24" t="s">
        <v>17</v>
      </c>
      <c r="C219" s="8"/>
    </row>
    <row r="220">
      <c r="A220" s="14"/>
      <c r="B220" s="24" t="s">
        <v>18</v>
      </c>
      <c r="C220" s="8"/>
    </row>
    <row r="221">
      <c r="A221" s="23" t="s">
        <v>150</v>
      </c>
      <c r="B221" s="24" t="s">
        <v>17</v>
      </c>
      <c r="C221" s="8"/>
    </row>
    <row r="222">
      <c r="A222" s="14"/>
      <c r="B222" s="24" t="s">
        <v>18</v>
      </c>
      <c r="C222" s="8"/>
    </row>
    <row r="223">
      <c r="A223" s="23" t="s">
        <v>151</v>
      </c>
      <c r="B223" s="24" t="s">
        <v>17</v>
      </c>
      <c r="C223" s="8"/>
    </row>
    <row r="224">
      <c r="A224" s="14"/>
      <c r="B224" s="24" t="s">
        <v>18</v>
      </c>
      <c r="C224" s="8"/>
    </row>
    <row r="225">
      <c r="A225" s="23" t="s">
        <v>152</v>
      </c>
      <c r="B225" s="24" t="s">
        <v>17</v>
      </c>
      <c r="C225" s="8"/>
    </row>
    <row r="226">
      <c r="A226" s="14"/>
      <c r="B226" s="24" t="s">
        <v>18</v>
      </c>
      <c r="C226" s="8"/>
    </row>
    <row r="227">
      <c r="A227" s="28" t="s">
        <v>153</v>
      </c>
      <c r="B227" s="28" t="s">
        <v>57</v>
      </c>
      <c r="C227" s="8"/>
    </row>
    <row r="228">
      <c r="A228" s="23" t="s">
        <v>154</v>
      </c>
      <c r="B228" s="24" t="s">
        <v>17</v>
      </c>
      <c r="C228" s="8"/>
    </row>
    <row r="229">
      <c r="A229" s="14"/>
      <c r="B229" s="24" t="s">
        <v>18</v>
      </c>
      <c r="C229" s="8"/>
    </row>
    <row r="230">
      <c r="A230" s="28" t="s">
        <v>155</v>
      </c>
      <c r="B230" s="28" t="s">
        <v>57</v>
      </c>
      <c r="C230" s="8"/>
    </row>
    <row r="231">
      <c r="A231" s="23" t="s">
        <v>156</v>
      </c>
      <c r="B231" s="24" t="s">
        <v>17</v>
      </c>
      <c r="C231" s="8"/>
    </row>
    <row r="232">
      <c r="A232" s="14"/>
      <c r="B232" s="24" t="s">
        <v>18</v>
      </c>
      <c r="C232" s="8"/>
    </row>
    <row r="233">
      <c r="A233" s="23" t="s">
        <v>157</v>
      </c>
      <c r="B233" s="24" t="s">
        <v>17</v>
      </c>
      <c r="C233" s="8"/>
    </row>
    <row r="234">
      <c r="A234" s="14"/>
      <c r="B234" s="24" t="s">
        <v>18</v>
      </c>
      <c r="C234" s="8"/>
    </row>
    <row r="235">
      <c r="A235" s="23" t="s">
        <v>158</v>
      </c>
      <c r="B235" s="24" t="s">
        <v>17</v>
      </c>
      <c r="C235" s="8"/>
    </row>
    <row r="236">
      <c r="A236" s="14"/>
      <c r="B236" s="24" t="s">
        <v>18</v>
      </c>
      <c r="C236" s="8"/>
    </row>
    <row r="237">
      <c r="A237" s="21" t="s">
        <v>159</v>
      </c>
      <c r="B237" s="24" t="s">
        <v>17</v>
      </c>
      <c r="C237" s="8"/>
    </row>
    <row r="238">
      <c r="A238" s="14"/>
      <c r="B238" s="24" t="s">
        <v>18</v>
      </c>
      <c r="C238" s="8"/>
    </row>
    <row r="239">
      <c r="A239" s="21" t="s">
        <v>160</v>
      </c>
      <c r="B239" s="24" t="s">
        <v>17</v>
      </c>
      <c r="C239" s="8"/>
    </row>
    <row r="240">
      <c r="A240" s="14"/>
      <c r="B240" s="24" t="s">
        <v>18</v>
      </c>
      <c r="C240" s="8"/>
    </row>
    <row r="241">
      <c r="A241" s="21" t="s">
        <v>161</v>
      </c>
      <c r="B241" s="24" t="s">
        <v>17</v>
      </c>
      <c r="C241" s="8"/>
    </row>
    <row r="242">
      <c r="A242" s="14"/>
      <c r="B242" s="24" t="s">
        <v>18</v>
      </c>
      <c r="C242" s="8"/>
    </row>
    <row r="243">
      <c r="A243" s="23" t="s">
        <v>162</v>
      </c>
      <c r="B243" s="24" t="s">
        <v>17</v>
      </c>
      <c r="C243" s="8"/>
    </row>
    <row r="244">
      <c r="A244" s="14"/>
      <c r="B244" s="24" t="s">
        <v>18</v>
      </c>
      <c r="C244" s="8"/>
    </row>
    <row r="245">
      <c r="A245" s="23" t="s">
        <v>163</v>
      </c>
      <c r="B245" s="24" t="s">
        <v>17</v>
      </c>
      <c r="C245" s="8"/>
    </row>
    <row r="246">
      <c r="A246" s="14"/>
      <c r="B246" s="24" t="s">
        <v>18</v>
      </c>
      <c r="C246" s="8"/>
    </row>
    <row r="247">
      <c r="A247" s="21" t="s">
        <v>164</v>
      </c>
      <c r="B247" s="24" t="s">
        <v>17</v>
      </c>
      <c r="C247" s="8"/>
    </row>
    <row r="248">
      <c r="A248" s="14"/>
      <c r="B248" s="24" t="s">
        <v>18</v>
      </c>
      <c r="C248" s="8"/>
    </row>
    <row r="249">
      <c r="A249" s="21" t="s">
        <v>165</v>
      </c>
      <c r="B249" s="24" t="s">
        <v>17</v>
      </c>
      <c r="C249" s="8"/>
    </row>
    <row r="250">
      <c r="A250" s="14"/>
      <c r="B250" s="24" t="s">
        <v>18</v>
      </c>
      <c r="C250" s="8"/>
    </row>
    <row r="251">
      <c r="A251" s="12" t="s">
        <v>166</v>
      </c>
      <c r="B251" s="24" t="s">
        <v>17</v>
      </c>
      <c r="C251" s="29"/>
    </row>
    <row r="252">
      <c r="A252" s="14"/>
      <c r="B252" s="24" t="s">
        <v>18</v>
      </c>
      <c r="C252" s="29"/>
    </row>
    <row r="253">
      <c r="A253" s="30" t="s">
        <v>167</v>
      </c>
      <c r="B253" s="34" t="s">
        <v>168</v>
      </c>
      <c r="C253" s="8"/>
    </row>
    <row r="254">
      <c r="A254" s="35"/>
      <c r="B254" s="34" t="s">
        <v>169</v>
      </c>
      <c r="C254" s="8"/>
    </row>
    <row r="255">
      <c r="A255" s="35"/>
      <c r="B255" s="34" t="s">
        <v>170</v>
      </c>
      <c r="C255" s="8"/>
    </row>
    <row r="256">
      <c r="A256" s="31"/>
      <c r="B256" s="34" t="s">
        <v>171</v>
      </c>
      <c r="C256" s="8"/>
    </row>
    <row r="257">
      <c r="A257" s="30" t="s">
        <v>172</v>
      </c>
      <c r="B257" s="34" t="s">
        <v>168</v>
      </c>
      <c r="C257" s="8"/>
    </row>
    <row r="258">
      <c r="A258" s="35"/>
      <c r="B258" s="34" t="s">
        <v>169</v>
      </c>
      <c r="C258" s="8"/>
    </row>
    <row r="259">
      <c r="A259" s="35"/>
      <c r="B259" s="34" t="s">
        <v>170</v>
      </c>
      <c r="C259" s="8"/>
    </row>
    <row r="260">
      <c r="A260" s="31"/>
      <c r="B260" s="34" t="s">
        <v>171</v>
      </c>
      <c r="C260" s="8"/>
    </row>
    <row r="261">
      <c r="A261" s="36" t="s">
        <v>173</v>
      </c>
      <c r="B261" s="37" t="s">
        <v>17</v>
      </c>
      <c r="C261" s="38"/>
    </row>
    <row r="262">
      <c r="A262" s="14"/>
      <c r="B262" s="39" t="s">
        <v>18</v>
      </c>
      <c r="C262" s="14"/>
    </row>
    <row r="263">
      <c r="A263" s="30" t="s">
        <v>174</v>
      </c>
      <c r="B263" s="37" t="s">
        <v>17</v>
      </c>
      <c r="C263" s="38"/>
      <c r="D263" s="10" t="s">
        <v>175</v>
      </c>
    </row>
    <row r="264">
      <c r="A264" s="31"/>
      <c r="B264" s="39" t="s">
        <v>18</v>
      </c>
      <c r="C264" s="14"/>
    </row>
    <row r="265">
      <c r="A265" s="30" t="s">
        <v>176</v>
      </c>
      <c r="B265" s="37" t="s">
        <v>17</v>
      </c>
      <c r="C265" s="38"/>
    </row>
    <row r="266">
      <c r="A266" s="31"/>
      <c r="B266" s="39" t="s">
        <v>18</v>
      </c>
      <c r="C266" s="14"/>
    </row>
    <row r="267">
      <c r="A267" s="30" t="s">
        <v>177</v>
      </c>
      <c r="B267" s="37" t="s">
        <v>17</v>
      </c>
      <c r="C267" s="38"/>
    </row>
    <row r="268">
      <c r="A268" s="31"/>
      <c r="B268" s="39" t="s">
        <v>18</v>
      </c>
      <c r="C268" s="14"/>
    </row>
    <row r="269">
      <c r="A269" s="30" t="s">
        <v>178</v>
      </c>
      <c r="B269" s="37" t="s">
        <v>17</v>
      </c>
      <c r="C269" s="38"/>
    </row>
    <row r="270">
      <c r="A270" s="31"/>
      <c r="B270" s="39" t="s">
        <v>18</v>
      </c>
      <c r="C270" s="14"/>
    </row>
    <row r="271">
      <c r="A271" s="40" t="s">
        <v>179</v>
      </c>
      <c r="B271" s="39" t="s">
        <v>57</v>
      </c>
      <c r="C271" s="8"/>
    </row>
    <row r="272">
      <c r="A272" s="40" t="s">
        <v>180</v>
      </c>
      <c r="B272" s="39"/>
      <c r="C272" s="41"/>
    </row>
    <row r="273">
      <c r="A273" s="40" t="s">
        <v>181</v>
      </c>
      <c r="B273" s="39"/>
      <c r="C273" s="41"/>
    </row>
    <row r="274">
      <c r="A274" s="42" t="s">
        <v>182</v>
      </c>
      <c r="B274" s="37" t="s">
        <v>17</v>
      </c>
      <c r="C274" s="41"/>
    </row>
    <row r="275">
      <c r="A275" s="14"/>
      <c r="B275" s="39" t="s">
        <v>18</v>
      </c>
      <c r="C275" s="41"/>
    </row>
    <row r="276">
      <c r="A276" s="42" t="s">
        <v>183</v>
      </c>
      <c r="B276" s="37" t="s">
        <v>17</v>
      </c>
      <c r="C276" s="41"/>
    </row>
    <row r="277">
      <c r="A277" s="14"/>
      <c r="B277" s="39" t="s">
        <v>18</v>
      </c>
      <c r="C277" s="41"/>
    </row>
    <row r="278">
      <c r="A278" s="36" t="s">
        <v>184</v>
      </c>
      <c r="B278" s="43" t="s">
        <v>185</v>
      </c>
      <c r="C278" s="8"/>
    </row>
    <row r="279">
      <c r="A279" s="20"/>
      <c r="B279" s="43" t="s">
        <v>186</v>
      </c>
      <c r="C279" s="44"/>
    </row>
    <row r="280">
      <c r="A280" s="14"/>
      <c r="B280" s="19" t="s">
        <v>187</v>
      </c>
      <c r="C280" s="29"/>
    </row>
    <row r="281">
      <c r="A281" s="45"/>
      <c r="B281" s="45"/>
      <c r="C281" s="46"/>
    </row>
    <row r="282">
      <c r="A282" s="45"/>
      <c r="B282" s="45"/>
      <c r="C282" s="46"/>
    </row>
    <row r="283">
      <c r="A283" s="45"/>
      <c r="B283" s="45"/>
      <c r="C283" s="46"/>
    </row>
    <row r="284">
      <c r="A284" s="45"/>
      <c r="B284" s="45"/>
      <c r="C284" s="46"/>
    </row>
    <row r="285">
      <c r="A285" s="45"/>
      <c r="B285" s="45"/>
      <c r="C285" s="46"/>
    </row>
    <row r="286">
      <c r="A286" s="45"/>
      <c r="B286" s="45"/>
      <c r="C286" s="46"/>
    </row>
    <row r="287">
      <c r="A287" s="45"/>
      <c r="B287" s="45"/>
      <c r="C287" s="46"/>
    </row>
    <row r="288">
      <c r="A288" s="45"/>
      <c r="B288" s="45"/>
      <c r="C288" s="46"/>
    </row>
    <row r="289">
      <c r="A289" s="45"/>
      <c r="B289" s="45"/>
      <c r="C289" s="46"/>
    </row>
    <row r="290">
      <c r="A290" s="45"/>
      <c r="B290" s="45"/>
      <c r="C290" s="46"/>
    </row>
    <row r="291">
      <c r="A291" s="45"/>
      <c r="B291" s="45"/>
      <c r="C291" s="47"/>
    </row>
    <row r="292">
      <c r="A292" s="45"/>
      <c r="B292" s="45"/>
      <c r="C292" s="47"/>
    </row>
    <row r="293">
      <c r="A293" s="45"/>
      <c r="B293" s="45"/>
      <c r="C293" s="47"/>
    </row>
    <row r="294">
      <c r="A294" s="45"/>
      <c r="B294" s="45"/>
      <c r="C294" s="47"/>
    </row>
    <row r="295">
      <c r="A295" s="45"/>
      <c r="B295" s="45"/>
      <c r="C295" s="47"/>
    </row>
    <row r="296">
      <c r="A296" s="45"/>
      <c r="B296" s="45"/>
      <c r="C296" s="47"/>
    </row>
    <row r="297">
      <c r="A297" s="45"/>
      <c r="B297" s="45"/>
      <c r="C297" s="47"/>
    </row>
    <row r="298">
      <c r="A298" s="45"/>
      <c r="B298" s="45"/>
      <c r="C298" s="47"/>
    </row>
    <row r="299">
      <c r="A299" s="45"/>
      <c r="B299" s="45"/>
      <c r="C299" s="47"/>
    </row>
    <row r="300">
      <c r="A300" s="45"/>
      <c r="B300" s="45"/>
      <c r="C300" s="47"/>
    </row>
    <row r="301">
      <c r="A301" s="45"/>
      <c r="B301" s="45"/>
      <c r="C301" s="47"/>
    </row>
    <row r="302">
      <c r="A302" s="45"/>
      <c r="B302" s="45"/>
      <c r="C302" s="47"/>
    </row>
    <row r="303">
      <c r="A303" s="45"/>
      <c r="B303" s="45"/>
      <c r="C303" s="47"/>
    </row>
    <row r="304">
      <c r="A304" s="45"/>
      <c r="B304" s="45"/>
      <c r="C304" s="47"/>
    </row>
    <row r="305">
      <c r="A305" s="45"/>
      <c r="B305" s="45"/>
      <c r="C305" s="47"/>
    </row>
    <row r="306">
      <c r="A306" s="45"/>
      <c r="B306" s="45"/>
      <c r="C306" s="47"/>
    </row>
    <row r="307">
      <c r="A307" s="45"/>
      <c r="B307" s="45"/>
      <c r="C307" s="47"/>
    </row>
    <row r="308">
      <c r="A308" s="45"/>
      <c r="B308" s="45"/>
      <c r="C308" s="47"/>
    </row>
    <row r="309">
      <c r="A309" s="45"/>
      <c r="B309" s="45"/>
      <c r="C309" s="47"/>
    </row>
    <row r="310">
      <c r="A310" s="45"/>
      <c r="B310" s="45"/>
      <c r="C310" s="47"/>
    </row>
    <row r="311">
      <c r="A311" s="45"/>
      <c r="B311" s="45"/>
      <c r="C311" s="47"/>
    </row>
    <row r="312">
      <c r="A312" s="45"/>
      <c r="B312" s="45"/>
      <c r="C312" s="47"/>
    </row>
    <row r="313">
      <c r="A313" s="45"/>
      <c r="B313" s="45"/>
      <c r="C313" s="47"/>
    </row>
    <row r="314">
      <c r="A314" s="45"/>
      <c r="B314" s="45"/>
      <c r="C314" s="47"/>
    </row>
    <row r="315">
      <c r="A315" s="45"/>
      <c r="B315" s="45"/>
      <c r="C315" s="47"/>
    </row>
    <row r="316">
      <c r="A316" s="45"/>
      <c r="B316" s="45"/>
      <c r="C316" s="47"/>
    </row>
    <row r="317">
      <c r="A317" s="45"/>
      <c r="B317" s="45"/>
      <c r="C317" s="47"/>
    </row>
    <row r="318">
      <c r="A318" s="45"/>
      <c r="B318" s="45"/>
      <c r="C318" s="47"/>
    </row>
    <row r="319">
      <c r="A319" s="45"/>
      <c r="B319" s="45"/>
      <c r="C319" s="47"/>
    </row>
    <row r="320">
      <c r="A320" s="45"/>
      <c r="B320" s="45"/>
      <c r="C320" s="47"/>
    </row>
    <row r="321">
      <c r="A321" s="45"/>
      <c r="B321" s="45"/>
      <c r="C321" s="47"/>
    </row>
    <row r="322">
      <c r="A322" s="45"/>
      <c r="B322" s="45"/>
      <c r="C322" s="47"/>
    </row>
    <row r="323">
      <c r="A323" s="45"/>
      <c r="B323" s="45"/>
      <c r="C323" s="47"/>
    </row>
    <row r="324">
      <c r="A324" s="45"/>
      <c r="B324" s="45"/>
      <c r="C324" s="47"/>
    </row>
    <row r="325">
      <c r="A325" s="45"/>
      <c r="B325" s="45"/>
      <c r="C325" s="47"/>
    </row>
    <row r="326">
      <c r="A326" s="45"/>
      <c r="B326" s="45"/>
      <c r="C326" s="47"/>
    </row>
    <row r="327">
      <c r="A327" s="45"/>
      <c r="B327" s="45"/>
      <c r="C327" s="47"/>
    </row>
    <row r="328">
      <c r="A328" s="45"/>
      <c r="B328" s="45"/>
      <c r="C328" s="47"/>
    </row>
    <row r="329">
      <c r="A329" s="45"/>
      <c r="B329" s="45"/>
      <c r="C329" s="47"/>
    </row>
    <row r="330">
      <c r="A330" s="45"/>
      <c r="B330" s="45"/>
      <c r="C330" s="47"/>
    </row>
    <row r="331">
      <c r="A331" s="45"/>
      <c r="B331" s="45"/>
      <c r="C331" s="47"/>
    </row>
    <row r="332">
      <c r="A332" s="45"/>
      <c r="B332" s="45"/>
      <c r="C332" s="47"/>
    </row>
    <row r="333">
      <c r="A333" s="45"/>
      <c r="B333" s="45"/>
      <c r="C333" s="47"/>
    </row>
    <row r="334">
      <c r="A334" s="45"/>
      <c r="B334" s="45"/>
      <c r="C334" s="47"/>
    </row>
    <row r="335">
      <c r="A335" s="45"/>
      <c r="B335" s="45"/>
      <c r="C335" s="47"/>
    </row>
    <row r="336">
      <c r="A336" s="45"/>
      <c r="B336" s="45"/>
      <c r="C336" s="47"/>
    </row>
    <row r="337">
      <c r="A337" s="45"/>
      <c r="B337" s="45"/>
      <c r="C337" s="47"/>
    </row>
    <row r="338">
      <c r="A338" s="45"/>
      <c r="B338" s="45"/>
      <c r="C338" s="47"/>
    </row>
    <row r="339">
      <c r="A339" s="45"/>
      <c r="B339" s="45"/>
      <c r="C339" s="47"/>
    </row>
    <row r="340">
      <c r="A340" s="45"/>
      <c r="B340" s="45"/>
      <c r="C340" s="47"/>
    </row>
    <row r="341">
      <c r="A341" s="45"/>
      <c r="B341" s="45"/>
      <c r="C341" s="47"/>
    </row>
    <row r="342">
      <c r="A342" s="45"/>
      <c r="B342" s="45"/>
      <c r="C342" s="47"/>
    </row>
    <row r="343">
      <c r="A343" s="45"/>
      <c r="B343" s="45"/>
      <c r="C343" s="47"/>
    </row>
    <row r="344">
      <c r="A344" s="45"/>
      <c r="B344" s="45"/>
      <c r="C344" s="47"/>
    </row>
    <row r="345">
      <c r="A345" s="45"/>
      <c r="B345" s="45"/>
      <c r="C345" s="47"/>
    </row>
    <row r="346">
      <c r="A346" s="45"/>
      <c r="B346" s="45"/>
      <c r="C346" s="47"/>
    </row>
    <row r="347">
      <c r="A347" s="45"/>
      <c r="B347" s="45"/>
      <c r="C347" s="47"/>
    </row>
    <row r="348">
      <c r="A348" s="45"/>
      <c r="B348" s="45"/>
      <c r="C348" s="47"/>
    </row>
    <row r="349">
      <c r="A349" s="45"/>
      <c r="B349" s="45"/>
      <c r="C349" s="47"/>
    </row>
    <row r="350">
      <c r="A350" s="45"/>
      <c r="B350" s="45"/>
      <c r="C350" s="47"/>
    </row>
    <row r="351">
      <c r="A351" s="45"/>
      <c r="B351" s="45"/>
      <c r="C351" s="47"/>
    </row>
    <row r="352">
      <c r="A352" s="45"/>
      <c r="B352" s="45"/>
      <c r="C352" s="47"/>
    </row>
    <row r="353">
      <c r="A353" s="45"/>
      <c r="B353" s="45"/>
      <c r="C353" s="47"/>
    </row>
    <row r="354">
      <c r="A354" s="45"/>
      <c r="B354" s="45"/>
      <c r="C354" s="47"/>
    </row>
    <row r="355">
      <c r="A355" s="45"/>
      <c r="B355" s="45"/>
      <c r="C355" s="47"/>
    </row>
    <row r="356">
      <c r="A356" s="45"/>
      <c r="B356" s="45"/>
      <c r="C356" s="47"/>
    </row>
    <row r="357">
      <c r="A357" s="45"/>
      <c r="B357" s="45"/>
      <c r="C357" s="47"/>
    </row>
    <row r="358">
      <c r="A358" s="45"/>
      <c r="B358" s="45"/>
      <c r="C358" s="47"/>
    </row>
    <row r="359">
      <c r="A359" s="45"/>
      <c r="B359" s="45"/>
      <c r="C359" s="47"/>
    </row>
    <row r="360">
      <c r="A360" s="45"/>
      <c r="B360" s="45"/>
      <c r="C360" s="47"/>
    </row>
    <row r="361">
      <c r="A361" s="45"/>
      <c r="B361" s="45"/>
      <c r="C361" s="47"/>
    </row>
    <row r="362">
      <c r="A362" s="45"/>
      <c r="B362" s="45"/>
      <c r="C362" s="47"/>
    </row>
    <row r="363">
      <c r="A363" s="45"/>
      <c r="B363" s="45"/>
      <c r="C363" s="47"/>
    </row>
    <row r="364">
      <c r="A364" s="45"/>
      <c r="B364" s="45"/>
      <c r="C364" s="47"/>
    </row>
    <row r="365">
      <c r="A365" s="45"/>
      <c r="B365" s="45"/>
      <c r="C365" s="47"/>
    </row>
    <row r="366">
      <c r="A366" s="45"/>
      <c r="B366" s="45"/>
      <c r="C366" s="47"/>
    </row>
    <row r="367">
      <c r="A367" s="45"/>
      <c r="B367" s="45"/>
      <c r="C367" s="47"/>
    </row>
    <row r="368">
      <c r="A368" s="45"/>
      <c r="B368" s="45"/>
      <c r="C368" s="47"/>
    </row>
    <row r="369">
      <c r="A369" s="45"/>
      <c r="B369" s="45"/>
      <c r="C369" s="47"/>
    </row>
    <row r="370">
      <c r="A370" s="45"/>
      <c r="B370" s="45"/>
      <c r="C370" s="47"/>
    </row>
    <row r="371">
      <c r="A371" s="45"/>
      <c r="B371" s="45"/>
      <c r="C371" s="47"/>
    </row>
    <row r="372">
      <c r="A372" s="45"/>
      <c r="B372" s="45"/>
      <c r="C372" s="47"/>
    </row>
    <row r="373">
      <c r="A373" s="45"/>
      <c r="B373" s="45"/>
      <c r="C373" s="47"/>
    </row>
    <row r="374">
      <c r="A374" s="45"/>
      <c r="B374" s="45"/>
      <c r="C374" s="47"/>
    </row>
    <row r="375">
      <c r="A375" s="45"/>
      <c r="B375" s="45"/>
      <c r="C375" s="47"/>
    </row>
    <row r="376">
      <c r="A376" s="45"/>
      <c r="B376" s="45"/>
      <c r="C376" s="47"/>
    </row>
    <row r="377">
      <c r="A377" s="45"/>
      <c r="B377" s="45"/>
      <c r="C377" s="47"/>
    </row>
    <row r="378">
      <c r="A378" s="45"/>
      <c r="B378" s="45"/>
      <c r="C378" s="47"/>
    </row>
    <row r="379">
      <c r="A379" s="45"/>
      <c r="B379" s="45"/>
      <c r="C379" s="47"/>
    </row>
    <row r="380">
      <c r="A380" s="45"/>
      <c r="B380" s="45"/>
      <c r="C380" s="47"/>
    </row>
    <row r="381">
      <c r="A381" s="45"/>
      <c r="B381" s="45"/>
      <c r="C381" s="47"/>
    </row>
    <row r="382">
      <c r="A382" s="45"/>
      <c r="B382" s="45"/>
      <c r="C382" s="47"/>
    </row>
    <row r="383">
      <c r="A383" s="45"/>
      <c r="B383" s="45"/>
      <c r="C383" s="47"/>
    </row>
    <row r="384">
      <c r="A384" s="45"/>
      <c r="B384" s="45"/>
      <c r="C384" s="47"/>
    </row>
    <row r="385">
      <c r="A385" s="45"/>
      <c r="B385" s="45"/>
      <c r="C385" s="47"/>
    </row>
    <row r="386">
      <c r="A386" s="45"/>
      <c r="B386" s="45"/>
      <c r="C386" s="47"/>
    </row>
    <row r="387">
      <c r="A387" s="45"/>
      <c r="B387" s="45"/>
      <c r="C387" s="47"/>
    </row>
    <row r="388">
      <c r="A388" s="45"/>
      <c r="B388" s="45"/>
      <c r="C388" s="47"/>
    </row>
    <row r="389">
      <c r="A389" s="45"/>
      <c r="B389" s="45"/>
      <c r="C389" s="47"/>
    </row>
    <row r="390">
      <c r="A390" s="45"/>
      <c r="B390" s="45"/>
      <c r="C390" s="47"/>
    </row>
    <row r="391">
      <c r="A391" s="45"/>
      <c r="B391" s="45"/>
      <c r="C391" s="47"/>
    </row>
    <row r="392">
      <c r="A392" s="45"/>
      <c r="B392" s="45"/>
      <c r="C392" s="47"/>
    </row>
    <row r="393">
      <c r="A393" s="45"/>
      <c r="B393" s="45"/>
      <c r="C393" s="47"/>
    </row>
    <row r="394">
      <c r="A394" s="45"/>
      <c r="B394" s="45"/>
      <c r="C394" s="47"/>
    </row>
    <row r="395">
      <c r="A395" s="45"/>
      <c r="B395" s="45"/>
      <c r="C395" s="47"/>
    </row>
    <row r="396">
      <c r="A396" s="45"/>
      <c r="B396" s="45"/>
      <c r="C396" s="47"/>
    </row>
    <row r="397">
      <c r="A397" s="45"/>
      <c r="B397" s="45"/>
      <c r="C397" s="47"/>
    </row>
    <row r="398">
      <c r="A398" s="45"/>
      <c r="B398" s="45"/>
      <c r="C398" s="47"/>
    </row>
    <row r="399">
      <c r="A399" s="45"/>
      <c r="B399" s="45"/>
      <c r="C399" s="47"/>
    </row>
    <row r="400">
      <c r="A400" s="45"/>
      <c r="B400" s="45"/>
      <c r="C400" s="47"/>
    </row>
    <row r="401">
      <c r="A401" s="45"/>
      <c r="B401" s="45"/>
      <c r="C401" s="47"/>
    </row>
    <row r="402">
      <c r="A402" s="45"/>
      <c r="B402" s="45"/>
      <c r="C402" s="47"/>
    </row>
    <row r="403">
      <c r="A403" s="45"/>
      <c r="B403" s="45"/>
      <c r="C403" s="47"/>
    </row>
    <row r="404">
      <c r="A404" s="45"/>
      <c r="B404" s="45"/>
      <c r="C404" s="47"/>
    </row>
    <row r="405">
      <c r="A405" s="45"/>
      <c r="B405" s="45"/>
      <c r="C405" s="47"/>
    </row>
    <row r="406">
      <c r="A406" s="45"/>
      <c r="B406" s="45"/>
      <c r="C406" s="47"/>
    </row>
    <row r="407">
      <c r="A407" s="45"/>
      <c r="B407" s="45"/>
      <c r="C407" s="47"/>
    </row>
    <row r="408">
      <c r="A408" s="45"/>
      <c r="B408" s="45"/>
      <c r="C408" s="47"/>
    </row>
    <row r="409">
      <c r="A409" s="45"/>
      <c r="B409" s="45"/>
      <c r="C409" s="47"/>
    </row>
    <row r="410">
      <c r="A410" s="45"/>
      <c r="B410" s="45"/>
      <c r="C410" s="47"/>
    </row>
    <row r="411">
      <c r="A411" s="45"/>
      <c r="B411" s="45"/>
      <c r="C411" s="47"/>
    </row>
    <row r="412">
      <c r="A412" s="45"/>
      <c r="B412" s="45"/>
      <c r="C412" s="47"/>
    </row>
    <row r="413">
      <c r="A413" s="45"/>
      <c r="B413" s="45"/>
      <c r="C413" s="47"/>
    </row>
    <row r="414">
      <c r="A414" s="45"/>
      <c r="B414" s="45"/>
      <c r="C414" s="47"/>
    </row>
    <row r="415">
      <c r="A415" s="45"/>
      <c r="B415" s="45"/>
      <c r="C415" s="47"/>
    </row>
    <row r="416">
      <c r="A416" s="45"/>
      <c r="B416" s="45"/>
      <c r="C416" s="47"/>
    </row>
    <row r="417">
      <c r="A417" s="45"/>
      <c r="B417" s="45"/>
      <c r="C417" s="47"/>
    </row>
    <row r="418">
      <c r="A418" s="45"/>
      <c r="B418" s="45"/>
      <c r="C418" s="47"/>
    </row>
    <row r="419">
      <c r="A419" s="45"/>
      <c r="B419" s="45"/>
      <c r="C419" s="47"/>
    </row>
    <row r="420">
      <c r="A420" s="45"/>
      <c r="B420" s="45"/>
      <c r="C420" s="47"/>
    </row>
    <row r="421">
      <c r="A421" s="45"/>
      <c r="B421" s="45"/>
      <c r="C421" s="47"/>
    </row>
    <row r="422">
      <c r="A422" s="45"/>
      <c r="B422" s="45"/>
      <c r="C422" s="47"/>
    </row>
    <row r="423">
      <c r="A423" s="45"/>
      <c r="B423" s="45"/>
      <c r="C423" s="47"/>
    </row>
    <row r="424">
      <c r="A424" s="45"/>
      <c r="B424" s="45"/>
      <c r="C424" s="47"/>
    </row>
    <row r="425">
      <c r="A425" s="45"/>
      <c r="B425" s="45"/>
      <c r="C425" s="47"/>
    </row>
    <row r="426">
      <c r="A426" s="45"/>
      <c r="B426" s="45"/>
      <c r="C426" s="47"/>
    </row>
    <row r="427">
      <c r="A427" s="45"/>
      <c r="B427" s="45"/>
      <c r="C427" s="47"/>
    </row>
    <row r="428">
      <c r="A428" s="45"/>
      <c r="B428" s="45"/>
      <c r="C428" s="47"/>
    </row>
    <row r="429">
      <c r="A429" s="45"/>
      <c r="B429" s="45"/>
      <c r="C429" s="47"/>
    </row>
    <row r="430">
      <c r="A430" s="45"/>
      <c r="B430" s="45"/>
      <c r="C430" s="47"/>
    </row>
    <row r="431">
      <c r="A431" s="45"/>
      <c r="B431" s="45"/>
      <c r="C431" s="47"/>
    </row>
    <row r="432">
      <c r="A432" s="45"/>
      <c r="B432" s="45"/>
      <c r="C432" s="47"/>
    </row>
    <row r="433">
      <c r="A433" s="45"/>
      <c r="B433" s="45"/>
      <c r="C433" s="47"/>
    </row>
    <row r="434">
      <c r="A434" s="45"/>
      <c r="B434" s="45"/>
      <c r="C434" s="47"/>
    </row>
    <row r="435">
      <c r="A435" s="45"/>
      <c r="B435" s="45"/>
      <c r="C435" s="47"/>
    </row>
    <row r="436">
      <c r="A436" s="45"/>
      <c r="B436" s="45"/>
      <c r="C436" s="47"/>
    </row>
    <row r="437">
      <c r="A437" s="45"/>
      <c r="B437" s="45"/>
      <c r="C437" s="47"/>
    </row>
    <row r="438">
      <c r="A438" s="45"/>
      <c r="B438" s="45"/>
      <c r="C438" s="47"/>
    </row>
    <row r="439">
      <c r="A439" s="45"/>
      <c r="B439" s="45"/>
      <c r="C439" s="47"/>
    </row>
    <row r="440">
      <c r="A440" s="45"/>
      <c r="B440" s="45"/>
      <c r="C440" s="47"/>
    </row>
    <row r="441">
      <c r="A441" s="45"/>
      <c r="B441" s="45"/>
      <c r="C441" s="47"/>
    </row>
    <row r="442">
      <c r="A442" s="45"/>
      <c r="B442" s="45"/>
      <c r="C442" s="47"/>
    </row>
    <row r="443">
      <c r="A443" s="45"/>
      <c r="B443" s="45"/>
      <c r="C443" s="47"/>
    </row>
    <row r="444">
      <c r="A444" s="45"/>
      <c r="B444" s="45"/>
      <c r="C444" s="47"/>
    </row>
    <row r="445">
      <c r="A445" s="45"/>
      <c r="B445" s="45"/>
      <c r="C445" s="47"/>
    </row>
    <row r="446">
      <c r="A446" s="45"/>
      <c r="B446" s="45"/>
      <c r="C446" s="47"/>
    </row>
    <row r="447">
      <c r="A447" s="45"/>
      <c r="B447" s="45"/>
      <c r="C447" s="47"/>
    </row>
    <row r="448">
      <c r="A448" s="45"/>
      <c r="B448" s="45"/>
      <c r="C448" s="47"/>
    </row>
    <row r="449">
      <c r="A449" s="45"/>
      <c r="B449" s="45"/>
      <c r="C449" s="47"/>
    </row>
    <row r="450">
      <c r="A450" s="45"/>
      <c r="B450" s="45"/>
      <c r="C450" s="47"/>
    </row>
    <row r="451">
      <c r="A451" s="45"/>
      <c r="B451" s="45"/>
      <c r="C451" s="47"/>
    </row>
    <row r="452">
      <c r="A452" s="45"/>
      <c r="B452" s="45"/>
      <c r="C452" s="47"/>
    </row>
    <row r="453">
      <c r="A453" s="45"/>
      <c r="B453" s="45"/>
      <c r="C453" s="47"/>
    </row>
    <row r="454">
      <c r="A454" s="45"/>
      <c r="B454" s="45"/>
      <c r="C454" s="47"/>
    </row>
    <row r="455">
      <c r="A455" s="45"/>
      <c r="B455" s="45"/>
      <c r="C455" s="47"/>
    </row>
    <row r="456">
      <c r="A456" s="45"/>
      <c r="B456" s="45"/>
      <c r="C456" s="47"/>
    </row>
    <row r="457">
      <c r="A457" s="45"/>
      <c r="B457" s="45"/>
      <c r="C457" s="47"/>
    </row>
    <row r="458">
      <c r="A458" s="45"/>
      <c r="B458" s="45"/>
      <c r="C458" s="47"/>
    </row>
    <row r="459">
      <c r="A459" s="45"/>
      <c r="B459" s="45"/>
      <c r="C459" s="47"/>
    </row>
    <row r="460">
      <c r="A460" s="45"/>
      <c r="B460" s="45"/>
      <c r="C460" s="47"/>
    </row>
    <row r="461">
      <c r="A461" s="45"/>
      <c r="B461" s="45"/>
      <c r="C461" s="47"/>
    </row>
    <row r="462">
      <c r="A462" s="45"/>
      <c r="B462" s="45"/>
      <c r="C462" s="47"/>
    </row>
    <row r="463">
      <c r="A463" s="45"/>
      <c r="B463" s="45"/>
      <c r="C463" s="47"/>
    </row>
    <row r="464">
      <c r="A464" s="45"/>
      <c r="B464" s="45"/>
      <c r="C464" s="47"/>
    </row>
    <row r="465">
      <c r="A465" s="45"/>
      <c r="B465" s="45"/>
      <c r="C465" s="47"/>
    </row>
    <row r="466">
      <c r="A466" s="45"/>
      <c r="B466" s="45"/>
      <c r="C466" s="47"/>
    </row>
    <row r="467">
      <c r="A467" s="45"/>
      <c r="B467" s="45"/>
      <c r="C467" s="47"/>
    </row>
    <row r="468">
      <c r="A468" s="45"/>
      <c r="B468" s="45"/>
      <c r="C468" s="47"/>
    </row>
    <row r="469">
      <c r="A469" s="45"/>
      <c r="B469" s="45"/>
      <c r="C469" s="47"/>
    </row>
    <row r="470">
      <c r="A470" s="45"/>
      <c r="B470" s="45"/>
      <c r="C470" s="47"/>
    </row>
    <row r="471">
      <c r="A471" s="45"/>
      <c r="B471" s="45"/>
      <c r="C471" s="47"/>
    </row>
    <row r="472">
      <c r="A472" s="45"/>
      <c r="B472" s="45"/>
      <c r="C472" s="47"/>
    </row>
    <row r="473">
      <c r="A473" s="45"/>
      <c r="B473" s="45"/>
      <c r="C473" s="47"/>
    </row>
    <row r="474">
      <c r="A474" s="45"/>
      <c r="B474" s="45"/>
      <c r="C474" s="47"/>
    </row>
    <row r="475">
      <c r="A475" s="45"/>
      <c r="B475" s="45"/>
      <c r="C475" s="47"/>
    </row>
    <row r="476">
      <c r="A476" s="45"/>
      <c r="B476" s="45"/>
      <c r="C476" s="47"/>
    </row>
    <row r="477">
      <c r="A477" s="45"/>
      <c r="B477" s="45"/>
      <c r="C477" s="47"/>
    </row>
    <row r="478">
      <c r="A478" s="45"/>
      <c r="B478" s="45"/>
      <c r="C478" s="47"/>
    </row>
    <row r="479">
      <c r="A479" s="45"/>
      <c r="B479" s="45"/>
      <c r="C479" s="47"/>
    </row>
    <row r="480">
      <c r="A480" s="45"/>
      <c r="B480" s="45"/>
      <c r="C480" s="47"/>
    </row>
    <row r="481">
      <c r="A481" s="45"/>
      <c r="B481" s="45"/>
      <c r="C481" s="47"/>
    </row>
    <row r="482">
      <c r="A482" s="45"/>
      <c r="B482" s="45"/>
      <c r="C482" s="47"/>
    </row>
    <row r="483">
      <c r="A483" s="45"/>
      <c r="B483" s="45"/>
      <c r="C483" s="47"/>
    </row>
    <row r="484">
      <c r="A484" s="45"/>
      <c r="B484" s="45"/>
      <c r="C484" s="47"/>
    </row>
    <row r="485">
      <c r="A485" s="45"/>
      <c r="B485" s="45"/>
      <c r="C485" s="47"/>
    </row>
    <row r="486">
      <c r="A486" s="45"/>
      <c r="B486" s="45"/>
      <c r="C486" s="47"/>
    </row>
    <row r="487">
      <c r="A487" s="45"/>
      <c r="B487" s="45"/>
      <c r="C487" s="47"/>
    </row>
    <row r="488">
      <c r="A488" s="45"/>
      <c r="B488" s="45"/>
      <c r="C488" s="47"/>
    </row>
    <row r="489">
      <c r="A489" s="45"/>
      <c r="B489" s="45"/>
      <c r="C489" s="47"/>
    </row>
    <row r="490">
      <c r="A490" s="45"/>
      <c r="B490" s="45"/>
      <c r="C490" s="47"/>
    </row>
    <row r="491">
      <c r="A491" s="45"/>
      <c r="B491" s="45"/>
      <c r="C491" s="47"/>
    </row>
    <row r="492">
      <c r="A492" s="45"/>
      <c r="B492" s="45"/>
      <c r="C492" s="47"/>
    </row>
    <row r="493">
      <c r="A493" s="45"/>
      <c r="B493" s="45"/>
      <c r="C493" s="47"/>
    </row>
    <row r="494">
      <c r="A494" s="45"/>
      <c r="B494" s="45"/>
      <c r="C494" s="47"/>
    </row>
    <row r="495">
      <c r="A495" s="45"/>
      <c r="B495" s="45"/>
      <c r="C495" s="47"/>
    </row>
    <row r="496">
      <c r="A496" s="45"/>
      <c r="B496" s="45"/>
      <c r="C496" s="47"/>
    </row>
    <row r="497">
      <c r="A497" s="45"/>
      <c r="B497" s="45"/>
      <c r="C497" s="47"/>
    </row>
    <row r="498">
      <c r="A498" s="45"/>
      <c r="B498" s="45"/>
      <c r="C498" s="47"/>
    </row>
    <row r="499">
      <c r="A499" s="45"/>
      <c r="B499" s="45"/>
      <c r="C499" s="47"/>
    </row>
    <row r="500">
      <c r="A500" s="45"/>
      <c r="B500" s="45"/>
      <c r="C500" s="47"/>
    </row>
    <row r="501">
      <c r="A501" s="45"/>
      <c r="B501" s="45"/>
      <c r="C501" s="47"/>
    </row>
    <row r="502">
      <c r="A502" s="45"/>
      <c r="B502" s="45"/>
      <c r="C502" s="47"/>
    </row>
    <row r="503">
      <c r="A503" s="45"/>
      <c r="B503" s="45"/>
      <c r="C503" s="47"/>
    </row>
    <row r="504">
      <c r="A504" s="45"/>
      <c r="B504" s="45"/>
      <c r="C504" s="47"/>
    </row>
    <row r="505">
      <c r="A505" s="45"/>
      <c r="B505" s="45"/>
      <c r="C505" s="47"/>
    </row>
    <row r="506">
      <c r="A506" s="45"/>
      <c r="B506" s="45"/>
      <c r="C506" s="47"/>
    </row>
    <row r="507">
      <c r="A507" s="45"/>
      <c r="B507" s="45"/>
      <c r="C507" s="47"/>
    </row>
    <row r="508">
      <c r="A508" s="45"/>
      <c r="B508" s="45"/>
      <c r="C508" s="47"/>
    </row>
    <row r="509">
      <c r="A509" s="45"/>
      <c r="B509" s="45"/>
      <c r="C509" s="47"/>
    </row>
    <row r="510">
      <c r="A510" s="45"/>
      <c r="B510" s="45"/>
      <c r="C510" s="47"/>
    </row>
    <row r="511">
      <c r="A511" s="45"/>
      <c r="B511" s="45"/>
      <c r="C511" s="47"/>
    </row>
    <row r="512">
      <c r="A512" s="45"/>
      <c r="B512" s="45"/>
      <c r="C512" s="47"/>
    </row>
    <row r="513">
      <c r="A513" s="45"/>
      <c r="B513" s="45"/>
      <c r="C513" s="47"/>
    </row>
    <row r="514">
      <c r="A514" s="45"/>
      <c r="B514" s="45"/>
      <c r="C514" s="47"/>
    </row>
    <row r="515">
      <c r="A515" s="45"/>
      <c r="B515" s="45"/>
      <c r="C515" s="47"/>
    </row>
    <row r="516">
      <c r="A516" s="45"/>
      <c r="B516" s="45"/>
      <c r="C516" s="47"/>
    </row>
    <row r="517">
      <c r="A517" s="45"/>
      <c r="B517" s="45"/>
      <c r="C517" s="47"/>
    </row>
    <row r="518">
      <c r="A518" s="45"/>
      <c r="B518" s="45"/>
      <c r="C518" s="47"/>
    </row>
    <row r="519">
      <c r="A519" s="45"/>
      <c r="B519" s="45"/>
      <c r="C519" s="47"/>
    </row>
    <row r="520">
      <c r="A520" s="45"/>
      <c r="B520" s="45"/>
      <c r="C520" s="47"/>
    </row>
    <row r="521">
      <c r="A521" s="45"/>
      <c r="B521" s="45"/>
      <c r="C521" s="47"/>
    </row>
    <row r="522">
      <c r="A522" s="45"/>
      <c r="B522" s="45"/>
      <c r="C522" s="47"/>
    </row>
    <row r="523">
      <c r="A523" s="45"/>
      <c r="B523" s="45"/>
      <c r="C523" s="47"/>
    </row>
    <row r="524">
      <c r="A524" s="45"/>
      <c r="B524" s="45"/>
      <c r="C524" s="47"/>
    </row>
    <row r="525">
      <c r="A525" s="45"/>
      <c r="B525" s="45"/>
      <c r="C525" s="47"/>
    </row>
    <row r="526">
      <c r="A526" s="45"/>
      <c r="B526" s="45"/>
      <c r="C526" s="47"/>
    </row>
    <row r="527">
      <c r="A527" s="45"/>
      <c r="B527" s="45"/>
      <c r="C527" s="47"/>
    </row>
    <row r="528">
      <c r="A528" s="45"/>
      <c r="B528" s="45"/>
      <c r="C528" s="47"/>
    </row>
    <row r="529">
      <c r="A529" s="45"/>
      <c r="B529" s="45"/>
      <c r="C529" s="47"/>
    </row>
    <row r="530">
      <c r="A530" s="45"/>
      <c r="B530" s="45"/>
      <c r="C530" s="47"/>
    </row>
    <row r="531">
      <c r="A531" s="45"/>
      <c r="B531" s="45"/>
      <c r="C531" s="47"/>
    </row>
    <row r="532">
      <c r="A532" s="45"/>
      <c r="B532" s="45"/>
      <c r="C532" s="47"/>
    </row>
    <row r="533">
      <c r="A533" s="45"/>
      <c r="B533" s="45"/>
      <c r="C533" s="47"/>
    </row>
    <row r="534">
      <c r="A534" s="45"/>
      <c r="B534" s="45"/>
      <c r="C534" s="47"/>
    </row>
    <row r="535">
      <c r="A535" s="45"/>
      <c r="B535" s="45"/>
      <c r="C535" s="47"/>
    </row>
    <row r="536">
      <c r="A536" s="45"/>
      <c r="B536" s="45"/>
      <c r="C536" s="47"/>
    </row>
    <row r="537">
      <c r="A537" s="45"/>
      <c r="B537" s="45"/>
      <c r="C537" s="47"/>
    </row>
    <row r="538">
      <c r="A538" s="45"/>
      <c r="B538" s="45"/>
      <c r="C538" s="47"/>
    </row>
    <row r="539">
      <c r="A539" s="45"/>
      <c r="B539" s="45"/>
      <c r="C539" s="47"/>
    </row>
    <row r="540">
      <c r="A540" s="45"/>
      <c r="B540" s="45"/>
      <c r="C540" s="47"/>
    </row>
    <row r="541">
      <c r="A541" s="45"/>
      <c r="B541" s="45"/>
      <c r="C541" s="47"/>
    </row>
    <row r="542">
      <c r="A542" s="45"/>
      <c r="B542" s="45"/>
      <c r="C542" s="47"/>
    </row>
    <row r="543">
      <c r="A543" s="45"/>
      <c r="B543" s="45"/>
      <c r="C543" s="47"/>
    </row>
    <row r="544">
      <c r="A544" s="45"/>
      <c r="B544" s="45"/>
      <c r="C544" s="47"/>
    </row>
    <row r="545">
      <c r="A545" s="45"/>
      <c r="B545" s="45"/>
      <c r="C545" s="47"/>
    </row>
    <row r="546">
      <c r="A546" s="45"/>
      <c r="B546" s="45"/>
      <c r="C546" s="47"/>
    </row>
    <row r="547">
      <c r="A547" s="45"/>
      <c r="B547" s="45"/>
      <c r="C547" s="47"/>
    </row>
    <row r="548">
      <c r="A548" s="45"/>
      <c r="B548" s="45"/>
      <c r="C548" s="47"/>
    </row>
    <row r="549">
      <c r="A549" s="45"/>
      <c r="B549" s="45"/>
      <c r="C549" s="47"/>
    </row>
    <row r="550">
      <c r="A550" s="45"/>
      <c r="B550" s="45"/>
      <c r="C550" s="47"/>
    </row>
    <row r="551">
      <c r="A551" s="45"/>
      <c r="B551" s="45"/>
      <c r="C551" s="47"/>
    </row>
    <row r="552">
      <c r="A552" s="45"/>
      <c r="B552" s="45"/>
      <c r="C552" s="47"/>
    </row>
    <row r="553">
      <c r="A553" s="45"/>
      <c r="B553" s="45"/>
      <c r="C553" s="47"/>
    </row>
    <row r="554">
      <c r="A554" s="45"/>
      <c r="B554" s="45"/>
      <c r="C554" s="47"/>
    </row>
    <row r="555">
      <c r="A555" s="45"/>
      <c r="B555" s="45"/>
      <c r="C555" s="47"/>
    </row>
    <row r="556">
      <c r="A556" s="45"/>
      <c r="B556" s="45"/>
      <c r="C556" s="47"/>
    </row>
    <row r="557">
      <c r="A557" s="45"/>
      <c r="B557" s="45"/>
      <c r="C557" s="47"/>
    </row>
    <row r="558">
      <c r="A558" s="45"/>
      <c r="B558" s="45"/>
      <c r="C558" s="47"/>
    </row>
    <row r="559">
      <c r="A559" s="45"/>
      <c r="B559" s="45"/>
      <c r="C559" s="47"/>
    </row>
    <row r="560">
      <c r="A560" s="45"/>
      <c r="B560" s="45"/>
      <c r="C560" s="47"/>
    </row>
    <row r="561">
      <c r="A561" s="45"/>
      <c r="B561" s="45"/>
      <c r="C561" s="47"/>
    </row>
    <row r="562">
      <c r="A562" s="45"/>
      <c r="B562" s="45"/>
      <c r="C562" s="47"/>
    </row>
    <row r="563">
      <c r="A563" s="45"/>
      <c r="B563" s="45"/>
      <c r="C563" s="47"/>
    </row>
    <row r="564">
      <c r="A564" s="45"/>
      <c r="B564" s="45"/>
      <c r="C564" s="47"/>
    </row>
    <row r="565">
      <c r="A565" s="45"/>
      <c r="B565" s="45"/>
      <c r="C565" s="47"/>
    </row>
    <row r="566">
      <c r="A566" s="45"/>
      <c r="B566" s="45"/>
      <c r="C566" s="47"/>
    </row>
    <row r="567">
      <c r="A567" s="45"/>
      <c r="B567" s="45"/>
      <c r="C567" s="47"/>
    </row>
    <row r="568">
      <c r="A568" s="45"/>
      <c r="B568" s="45"/>
      <c r="C568" s="47"/>
    </row>
    <row r="569">
      <c r="A569" s="45"/>
      <c r="B569" s="45"/>
      <c r="C569" s="47"/>
    </row>
    <row r="570">
      <c r="A570" s="45"/>
      <c r="B570" s="45"/>
      <c r="C570" s="47"/>
    </row>
    <row r="571">
      <c r="A571" s="45"/>
      <c r="B571" s="45"/>
      <c r="C571" s="47"/>
    </row>
    <row r="572">
      <c r="A572" s="45"/>
      <c r="B572" s="45"/>
      <c r="C572" s="47"/>
    </row>
    <row r="573">
      <c r="A573" s="45"/>
      <c r="B573" s="45"/>
      <c r="C573" s="47"/>
    </row>
    <row r="574">
      <c r="A574" s="45"/>
      <c r="B574" s="45"/>
      <c r="C574" s="47"/>
    </row>
    <row r="575">
      <c r="A575" s="45"/>
      <c r="B575" s="45"/>
      <c r="C575" s="47"/>
    </row>
    <row r="576">
      <c r="A576" s="45"/>
      <c r="B576" s="45"/>
      <c r="C576" s="47"/>
    </row>
    <row r="577">
      <c r="A577" s="45"/>
      <c r="B577" s="45"/>
      <c r="C577" s="47"/>
    </row>
    <row r="578">
      <c r="A578" s="45"/>
      <c r="B578" s="45"/>
      <c r="C578" s="47"/>
    </row>
    <row r="579">
      <c r="A579" s="45"/>
      <c r="B579" s="45"/>
      <c r="C579" s="47"/>
    </row>
    <row r="580">
      <c r="A580" s="45"/>
      <c r="B580" s="45"/>
      <c r="C580" s="47"/>
    </row>
    <row r="581">
      <c r="A581" s="45"/>
      <c r="B581" s="45"/>
      <c r="C581" s="47"/>
    </row>
    <row r="582">
      <c r="A582" s="45"/>
      <c r="B582" s="45"/>
      <c r="C582" s="47"/>
    </row>
    <row r="583">
      <c r="A583" s="45"/>
      <c r="B583" s="45"/>
      <c r="C583" s="47"/>
    </row>
    <row r="584">
      <c r="A584" s="45"/>
      <c r="B584" s="45"/>
      <c r="C584" s="47"/>
    </row>
    <row r="585">
      <c r="A585" s="45"/>
      <c r="B585" s="45"/>
      <c r="C585" s="47"/>
    </row>
    <row r="586">
      <c r="A586" s="45"/>
      <c r="B586" s="45"/>
      <c r="C586" s="47"/>
    </row>
    <row r="587">
      <c r="A587" s="45"/>
      <c r="B587" s="45"/>
      <c r="C587" s="47"/>
    </row>
    <row r="588">
      <c r="A588" s="45"/>
      <c r="B588" s="45"/>
      <c r="C588" s="47"/>
    </row>
    <row r="589">
      <c r="A589" s="45"/>
      <c r="B589" s="45"/>
      <c r="C589" s="47"/>
    </row>
    <row r="590">
      <c r="A590" s="45"/>
      <c r="B590" s="45"/>
      <c r="C590" s="47"/>
    </row>
    <row r="591">
      <c r="A591" s="45"/>
      <c r="B591" s="45"/>
      <c r="C591" s="47"/>
    </row>
    <row r="592">
      <c r="A592" s="45"/>
      <c r="B592" s="45"/>
      <c r="C592" s="47"/>
    </row>
    <row r="593">
      <c r="A593" s="45"/>
      <c r="B593" s="45"/>
      <c r="C593" s="47"/>
    </row>
    <row r="594">
      <c r="A594" s="45"/>
      <c r="B594" s="45"/>
      <c r="C594" s="47"/>
    </row>
    <row r="595">
      <c r="A595" s="45"/>
      <c r="B595" s="45"/>
      <c r="C595" s="47"/>
    </row>
    <row r="596">
      <c r="A596" s="45"/>
      <c r="B596" s="45"/>
      <c r="C596" s="47"/>
    </row>
    <row r="597">
      <c r="A597" s="45"/>
      <c r="B597" s="45"/>
      <c r="C597" s="47"/>
    </row>
    <row r="598">
      <c r="A598" s="45"/>
      <c r="B598" s="45"/>
      <c r="C598" s="47"/>
    </row>
    <row r="599">
      <c r="A599" s="45"/>
      <c r="B599" s="45"/>
      <c r="C599" s="47"/>
    </row>
    <row r="600">
      <c r="A600" s="45"/>
      <c r="B600" s="45"/>
      <c r="C600" s="47"/>
    </row>
    <row r="601">
      <c r="A601" s="45"/>
      <c r="B601" s="45"/>
      <c r="C601" s="47"/>
    </row>
    <row r="602">
      <c r="A602" s="45"/>
      <c r="B602" s="45"/>
      <c r="C602" s="47"/>
    </row>
    <row r="603">
      <c r="A603" s="45"/>
      <c r="B603" s="45"/>
      <c r="C603" s="47"/>
    </row>
    <row r="604">
      <c r="A604" s="45"/>
      <c r="B604" s="45"/>
      <c r="C604" s="47"/>
    </row>
    <row r="605">
      <c r="A605" s="45"/>
      <c r="B605" s="45"/>
      <c r="C605" s="47"/>
    </row>
    <row r="606">
      <c r="A606" s="45"/>
      <c r="B606" s="45"/>
      <c r="C606" s="47"/>
    </row>
    <row r="607">
      <c r="A607" s="45"/>
      <c r="B607" s="45"/>
      <c r="C607" s="47"/>
    </row>
    <row r="608">
      <c r="A608" s="45"/>
      <c r="B608" s="45"/>
      <c r="C608" s="47"/>
    </row>
    <row r="609">
      <c r="A609" s="45"/>
      <c r="B609" s="45"/>
      <c r="C609" s="47"/>
    </row>
    <row r="610">
      <c r="A610" s="45"/>
      <c r="B610" s="45"/>
      <c r="C610" s="47"/>
    </row>
    <row r="611">
      <c r="A611" s="45"/>
      <c r="B611" s="45"/>
      <c r="C611" s="47"/>
    </row>
    <row r="612">
      <c r="A612" s="45"/>
      <c r="B612" s="45"/>
      <c r="C612" s="47"/>
    </row>
    <row r="613">
      <c r="A613" s="45"/>
      <c r="B613" s="45"/>
      <c r="C613" s="47"/>
    </row>
    <row r="614">
      <c r="A614" s="45"/>
      <c r="B614" s="45"/>
      <c r="C614" s="47"/>
    </row>
    <row r="615">
      <c r="A615" s="45"/>
      <c r="B615" s="45"/>
      <c r="C615" s="47"/>
    </row>
    <row r="616">
      <c r="A616" s="45"/>
      <c r="B616" s="45"/>
      <c r="C616" s="47"/>
    </row>
    <row r="617">
      <c r="A617" s="45"/>
      <c r="B617" s="45"/>
      <c r="C617" s="47"/>
    </row>
    <row r="618">
      <c r="A618" s="45"/>
      <c r="B618" s="45"/>
      <c r="C618" s="47"/>
    </row>
    <row r="619">
      <c r="A619" s="45"/>
      <c r="B619" s="45"/>
      <c r="C619" s="47"/>
    </row>
    <row r="620">
      <c r="A620" s="45"/>
      <c r="B620" s="45"/>
      <c r="C620" s="47"/>
    </row>
    <row r="621">
      <c r="A621" s="45"/>
      <c r="B621" s="45"/>
      <c r="C621" s="47"/>
    </row>
    <row r="622">
      <c r="A622" s="45"/>
      <c r="B622" s="45"/>
      <c r="C622" s="47"/>
    </row>
    <row r="623">
      <c r="A623" s="45"/>
      <c r="B623" s="45"/>
      <c r="C623" s="47"/>
    </row>
    <row r="624">
      <c r="A624" s="45"/>
      <c r="B624" s="45"/>
      <c r="C624" s="47"/>
    </row>
    <row r="625">
      <c r="A625" s="45"/>
      <c r="B625" s="45"/>
      <c r="C625" s="47"/>
    </row>
    <row r="626">
      <c r="A626" s="45"/>
      <c r="B626" s="45"/>
      <c r="C626" s="47"/>
    </row>
    <row r="627">
      <c r="A627" s="45"/>
      <c r="B627" s="45"/>
      <c r="C627" s="47"/>
    </row>
    <row r="628">
      <c r="A628" s="45"/>
      <c r="B628" s="45"/>
      <c r="C628" s="47"/>
    </row>
    <row r="629">
      <c r="A629" s="45"/>
      <c r="B629" s="45"/>
      <c r="C629" s="47"/>
    </row>
    <row r="630">
      <c r="A630" s="45"/>
      <c r="B630" s="45"/>
      <c r="C630" s="47"/>
    </row>
    <row r="631">
      <c r="A631" s="45"/>
      <c r="B631" s="45"/>
      <c r="C631" s="47"/>
    </row>
    <row r="632">
      <c r="A632" s="45"/>
      <c r="B632" s="45"/>
      <c r="C632" s="47"/>
    </row>
    <row r="633">
      <c r="A633" s="45"/>
      <c r="B633" s="45"/>
      <c r="C633" s="47"/>
    </row>
    <row r="634">
      <c r="A634" s="45"/>
      <c r="B634" s="45"/>
      <c r="C634" s="47"/>
    </row>
    <row r="635">
      <c r="A635" s="45"/>
      <c r="B635" s="45"/>
      <c r="C635" s="47"/>
    </row>
    <row r="636">
      <c r="A636" s="45"/>
      <c r="B636" s="45"/>
      <c r="C636" s="47"/>
    </row>
    <row r="637">
      <c r="A637" s="45"/>
      <c r="B637" s="45"/>
      <c r="C637" s="47"/>
    </row>
    <row r="638">
      <c r="A638" s="45"/>
      <c r="B638" s="45"/>
      <c r="C638" s="47"/>
    </row>
    <row r="639">
      <c r="A639" s="45"/>
      <c r="B639" s="45"/>
      <c r="C639" s="47"/>
    </row>
    <row r="640">
      <c r="A640" s="45"/>
      <c r="B640" s="45"/>
      <c r="C640" s="47"/>
    </row>
    <row r="641">
      <c r="A641" s="45"/>
      <c r="B641" s="45"/>
      <c r="C641" s="47"/>
    </row>
    <row r="642">
      <c r="A642" s="45"/>
      <c r="B642" s="45"/>
      <c r="C642" s="47"/>
    </row>
    <row r="643">
      <c r="A643" s="45"/>
      <c r="B643" s="45"/>
      <c r="C643" s="47"/>
    </row>
    <row r="644">
      <c r="A644" s="45"/>
      <c r="B644" s="45"/>
      <c r="C644" s="47"/>
    </row>
    <row r="645">
      <c r="A645" s="45"/>
      <c r="B645" s="45"/>
      <c r="C645" s="47"/>
    </row>
    <row r="646">
      <c r="A646" s="45"/>
      <c r="B646" s="45"/>
      <c r="C646" s="47"/>
    </row>
    <row r="647">
      <c r="A647" s="45"/>
      <c r="B647" s="45"/>
      <c r="C647" s="47"/>
    </row>
    <row r="648">
      <c r="A648" s="45"/>
      <c r="B648" s="45"/>
      <c r="C648" s="47"/>
    </row>
    <row r="649">
      <c r="A649" s="45"/>
      <c r="B649" s="45"/>
      <c r="C649" s="47"/>
    </row>
    <row r="650">
      <c r="A650" s="45"/>
      <c r="B650" s="45"/>
      <c r="C650" s="47"/>
    </row>
    <row r="651">
      <c r="A651" s="45"/>
      <c r="B651" s="45"/>
      <c r="C651" s="47"/>
    </row>
    <row r="652">
      <c r="A652" s="45"/>
      <c r="B652" s="45"/>
      <c r="C652" s="47"/>
    </row>
    <row r="653">
      <c r="A653" s="45"/>
      <c r="B653" s="45"/>
      <c r="C653" s="47"/>
    </row>
    <row r="654">
      <c r="A654" s="45"/>
      <c r="B654" s="45"/>
      <c r="C654" s="47"/>
    </row>
    <row r="655">
      <c r="A655" s="45"/>
      <c r="B655" s="45"/>
      <c r="C655" s="47"/>
    </row>
    <row r="656">
      <c r="A656" s="45"/>
      <c r="B656" s="45"/>
      <c r="C656" s="47"/>
    </row>
    <row r="657">
      <c r="A657" s="45"/>
      <c r="B657" s="45"/>
      <c r="C657" s="47"/>
    </row>
    <row r="658">
      <c r="A658" s="45"/>
      <c r="B658" s="45"/>
      <c r="C658" s="47"/>
    </row>
    <row r="659">
      <c r="A659" s="45"/>
      <c r="B659" s="45"/>
      <c r="C659" s="47"/>
    </row>
    <row r="660">
      <c r="A660" s="45"/>
      <c r="B660" s="45"/>
      <c r="C660" s="47"/>
    </row>
    <row r="661">
      <c r="A661" s="45"/>
      <c r="B661" s="45"/>
      <c r="C661" s="47"/>
    </row>
    <row r="662">
      <c r="A662" s="45"/>
      <c r="B662" s="45"/>
      <c r="C662" s="47"/>
    </row>
    <row r="663">
      <c r="A663" s="45"/>
      <c r="B663" s="45"/>
      <c r="C663" s="47"/>
    </row>
    <row r="664">
      <c r="A664" s="45"/>
      <c r="B664" s="45"/>
      <c r="C664" s="47"/>
    </row>
    <row r="665">
      <c r="A665" s="45"/>
      <c r="B665" s="45"/>
      <c r="C665" s="47"/>
    </row>
    <row r="666">
      <c r="A666" s="45"/>
      <c r="B666" s="45"/>
      <c r="C666" s="47"/>
    </row>
    <row r="667">
      <c r="A667" s="45"/>
      <c r="B667" s="45"/>
      <c r="C667" s="47"/>
    </row>
    <row r="668">
      <c r="A668" s="45"/>
      <c r="B668" s="45"/>
      <c r="C668" s="47"/>
    </row>
    <row r="669">
      <c r="A669" s="45"/>
      <c r="B669" s="45"/>
      <c r="C669" s="47"/>
    </row>
    <row r="670">
      <c r="A670" s="45"/>
      <c r="B670" s="45"/>
      <c r="C670" s="47"/>
    </row>
    <row r="671">
      <c r="A671" s="45"/>
      <c r="B671" s="45"/>
      <c r="C671" s="47"/>
    </row>
    <row r="672">
      <c r="A672" s="45"/>
      <c r="B672" s="45"/>
      <c r="C672" s="47"/>
    </row>
    <row r="673">
      <c r="A673" s="45"/>
      <c r="B673" s="45"/>
      <c r="C673" s="47"/>
    </row>
    <row r="674">
      <c r="A674" s="45"/>
      <c r="B674" s="45"/>
      <c r="C674" s="47"/>
    </row>
    <row r="675">
      <c r="A675" s="45"/>
      <c r="B675" s="45"/>
      <c r="C675" s="47"/>
    </row>
    <row r="676">
      <c r="A676" s="45"/>
      <c r="B676" s="45"/>
      <c r="C676" s="47"/>
    </row>
    <row r="677">
      <c r="A677" s="45"/>
      <c r="B677" s="45"/>
      <c r="C677" s="47"/>
    </row>
    <row r="678">
      <c r="A678" s="45"/>
      <c r="B678" s="45"/>
      <c r="C678" s="47"/>
    </row>
    <row r="679">
      <c r="A679" s="45"/>
      <c r="B679" s="45"/>
      <c r="C679" s="47"/>
    </row>
    <row r="680">
      <c r="A680" s="45"/>
      <c r="B680" s="45"/>
      <c r="C680" s="47"/>
    </row>
    <row r="681">
      <c r="A681" s="45"/>
      <c r="B681" s="45"/>
      <c r="C681" s="47"/>
    </row>
    <row r="682">
      <c r="A682" s="45"/>
      <c r="B682" s="45"/>
      <c r="C682" s="47"/>
    </row>
    <row r="683">
      <c r="A683" s="45"/>
      <c r="B683" s="45"/>
      <c r="C683" s="47"/>
    </row>
    <row r="684">
      <c r="A684" s="45"/>
      <c r="B684" s="45"/>
      <c r="C684" s="47"/>
    </row>
    <row r="685">
      <c r="A685" s="45"/>
      <c r="B685" s="45"/>
      <c r="C685" s="47"/>
    </row>
    <row r="686">
      <c r="A686" s="45"/>
      <c r="B686" s="45"/>
      <c r="C686" s="47"/>
    </row>
    <row r="687">
      <c r="A687" s="45"/>
      <c r="B687" s="45"/>
      <c r="C687" s="47"/>
    </row>
    <row r="688">
      <c r="A688" s="45"/>
      <c r="B688" s="45"/>
      <c r="C688" s="47"/>
    </row>
    <row r="689">
      <c r="A689" s="45"/>
      <c r="B689" s="45"/>
      <c r="C689" s="47"/>
    </row>
    <row r="690">
      <c r="A690" s="45"/>
      <c r="B690" s="45"/>
      <c r="C690" s="47"/>
    </row>
    <row r="691">
      <c r="A691" s="45"/>
      <c r="B691" s="45"/>
      <c r="C691" s="47"/>
    </row>
    <row r="692">
      <c r="A692" s="45"/>
      <c r="B692" s="45"/>
      <c r="C692" s="47"/>
    </row>
    <row r="693">
      <c r="A693" s="45"/>
      <c r="B693" s="45"/>
      <c r="C693" s="47"/>
    </row>
    <row r="694">
      <c r="A694" s="45"/>
      <c r="B694" s="45"/>
      <c r="C694" s="47"/>
    </row>
    <row r="695">
      <c r="A695" s="45"/>
      <c r="B695" s="45"/>
      <c r="C695" s="47"/>
    </row>
    <row r="696">
      <c r="A696" s="45"/>
      <c r="B696" s="45"/>
      <c r="C696" s="47"/>
    </row>
    <row r="697">
      <c r="A697" s="45"/>
      <c r="B697" s="45"/>
      <c r="C697" s="47"/>
    </row>
    <row r="698">
      <c r="A698" s="45"/>
      <c r="B698" s="45"/>
      <c r="C698" s="47"/>
    </row>
    <row r="699">
      <c r="A699" s="45"/>
      <c r="B699" s="45"/>
      <c r="C699" s="47"/>
    </row>
    <row r="700">
      <c r="A700" s="45"/>
      <c r="B700" s="45"/>
      <c r="C700" s="47"/>
    </row>
    <row r="701">
      <c r="A701" s="45"/>
      <c r="B701" s="45"/>
      <c r="C701" s="47"/>
    </row>
    <row r="702">
      <c r="A702" s="45"/>
      <c r="B702" s="45"/>
      <c r="C702" s="47"/>
    </row>
    <row r="703">
      <c r="A703" s="45"/>
      <c r="B703" s="45"/>
      <c r="C703" s="47"/>
    </row>
    <row r="704">
      <c r="A704" s="45"/>
      <c r="B704" s="45"/>
      <c r="C704" s="47"/>
    </row>
    <row r="705">
      <c r="A705" s="45"/>
      <c r="B705" s="45"/>
      <c r="C705" s="47"/>
    </row>
    <row r="706">
      <c r="A706" s="45"/>
      <c r="B706" s="45"/>
      <c r="C706" s="47"/>
    </row>
    <row r="707">
      <c r="A707" s="45"/>
      <c r="B707" s="45"/>
      <c r="C707" s="47"/>
    </row>
    <row r="708">
      <c r="A708" s="45"/>
      <c r="B708" s="45"/>
      <c r="C708" s="47"/>
    </row>
    <row r="709">
      <c r="A709" s="45"/>
      <c r="B709" s="45"/>
      <c r="C709" s="47"/>
    </row>
    <row r="710">
      <c r="A710" s="45"/>
      <c r="B710" s="45"/>
      <c r="C710" s="47"/>
    </row>
    <row r="711">
      <c r="A711" s="45"/>
      <c r="B711" s="45"/>
      <c r="C711" s="47"/>
    </row>
    <row r="712">
      <c r="A712" s="45"/>
      <c r="B712" s="45"/>
      <c r="C712" s="47"/>
    </row>
    <row r="713">
      <c r="A713" s="45"/>
      <c r="B713" s="45"/>
      <c r="C713" s="47"/>
    </row>
    <row r="714">
      <c r="A714" s="45"/>
      <c r="B714" s="45"/>
      <c r="C714" s="47"/>
    </row>
    <row r="715">
      <c r="A715" s="45"/>
      <c r="B715" s="45"/>
      <c r="C715" s="47"/>
    </row>
    <row r="716">
      <c r="A716" s="45"/>
      <c r="B716" s="45"/>
      <c r="C716" s="47"/>
    </row>
    <row r="717">
      <c r="A717" s="45"/>
      <c r="B717" s="45"/>
      <c r="C717" s="47"/>
    </row>
    <row r="718">
      <c r="A718" s="45"/>
      <c r="B718" s="45"/>
      <c r="C718" s="47"/>
    </row>
    <row r="719">
      <c r="A719" s="45"/>
      <c r="B719" s="45"/>
      <c r="C719" s="47"/>
    </row>
    <row r="720">
      <c r="A720" s="45"/>
      <c r="B720" s="45"/>
      <c r="C720" s="47"/>
    </row>
    <row r="721">
      <c r="A721" s="45"/>
      <c r="B721" s="45"/>
      <c r="C721" s="47"/>
    </row>
    <row r="722">
      <c r="A722" s="45"/>
      <c r="B722" s="45"/>
      <c r="C722" s="47"/>
    </row>
    <row r="723">
      <c r="A723" s="45"/>
      <c r="B723" s="45"/>
      <c r="C723" s="47"/>
    </row>
    <row r="724">
      <c r="A724" s="45"/>
      <c r="B724" s="45"/>
      <c r="C724" s="47"/>
    </row>
    <row r="725">
      <c r="A725" s="45"/>
      <c r="B725" s="45"/>
      <c r="C725" s="47"/>
    </row>
    <row r="726">
      <c r="A726" s="45"/>
      <c r="B726" s="45"/>
      <c r="C726" s="47"/>
    </row>
    <row r="727">
      <c r="A727" s="45"/>
      <c r="B727" s="45"/>
      <c r="C727" s="47"/>
    </row>
    <row r="728">
      <c r="A728" s="45"/>
      <c r="B728" s="45"/>
      <c r="C728" s="47"/>
    </row>
    <row r="729">
      <c r="A729" s="45"/>
      <c r="B729" s="45"/>
      <c r="C729" s="47"/>
    </row>
    <row r="730">
      <c r="A730" s="45"/>
      <c r="B730" s="45"/>
      <c r="C730" s="47"/>
    </row>
    <row r="731">
      <c r="A731" s="45"/>
      <c r="B731" s="45"/>
      <c r="C731" s="47"/>
    </row>
    <row r="732">
      <c r="A732" s="45"/>
      <c r="B732" s="45"/>
      <c r="C732" s="47"/>
    </row>
    <row r="733">
      <c r="A733" s="45"/>
      <c r="B733" s="45"/>
      <c r="C733" s="47"/>
    </row>
    <row r="734">
      <c r="A734" s="45"/>
      <c r="B734" s="45"/>
      <c r="C734" s="47"/>
    </row>
    <row r="735">
      <c r="A735" s="45"/>
      <c r="B735" s="45"/>
      <c r="C735" s="47"/>
    </row>
    <row r="736">
      <c r="A736" s="45"/>
      <c r="B736" s="45"/>
      <c r="C736" s="47"/>
    </row>
    <row r="737">
      <c r="A737" s="45"/>
      <c r="B737" s="45"/>
      <c r="C737" s="47"/>
    </row>
    <row r="738">
      <c r="A738" s="45"/>
      <c r="B738" s="45"/>
      <c r="C738" s="47"/>
    </row>
    <row r="739">
      <c r="A739" s="45"/>
      <c r="B739" s="45"/>
      <c r="C739" s="47"/>
    </row>
    <row r="740">
      <c r="A740" s="45"/>
      <c r="B740" s="45"/>
      <c r="C740" s="47"/>
    </row>
    <row r="741">
      <c r="A741" s="45"/>
      <c r="B741" s="45"/>
      <c r="C741" s="47"/>
    </row>
    <row r="742">
      <c r="A742" s="45"/>
      <c r="B742" s="45"/>
      <c r="C742" s="47"/>
    </row>
    <row r="743">
      <c r="A743" s="45"/>
      <c r="B743" s="45"/>
      <c r="C743" s="47"/>
    </row>
    <row r="744">
      <c r="A744" s="45"/>
      <c r="B744" s="45"/>
      <c r="C744" s="47"/>
    </row>
    <row r="745">
      <c r="A745" s="45"/>
      <c r="B745" s="45"/>
      <c r="C745" s="47"/>
    </row>
    <row r="746">
      <c r="A746" s="45"/>
      <c r="B746" s="45"/>
      <c r="C746" s="47"/>
    </row>
    <row r="747">
      <c r="A747" s="45"/>
      <c r="B747" s="45"/>
      <c r="C747" s="47"/>
    </row>
    <row r="748">
      <c r="A748" s="45"/>
      <c r="B748" s="45"/>
      <c r="C748" s="47"/>
    </row>
    <row r="749">
      <c r="A749" s="45"/>
      <c r="B749" s="45"/>
      <c r="C749" s="47"/>
    </row>
    <row r="750">
      <c r="A750" s="45"/>
      <c r="B750" s="45"/>
      <c r="C750" s="47"/>
    </row>
    <row r="751">
      <c r="A751" s="45"/>
      <c r="B751" s="45"/>
      <c r="C751" s="47"/>
    </row>
    <row r="752">
      <c r="A752" s="45"/>
      <c r="B752" s="45"/>
      <c r="C752" s="47"/>
    </row>
    <row r="753">
      <c r="A753" s="45"/>
      <c r="B753" s="45"/>
      <c r="C753" s="47"/>
    </row>
    <row r="754">
      <c r="A754" s="45"/>
      <c r="B754" s="45"/>
      <c r="C754" s="47"/>
    </row>
    <row r="755">
      <c r="A755" s="45"/>
      <c r="B755" s="45"/>
      <c r="C755" s="47"/>
    </row>
    <row r="756">
      <c r="A756" s="45"/>
      <c r="B756" s="45"/>
      <c r="C756" s="47"/>
    </row>
    <row r="757">
      <c r="A757" s="45"/>
      <c r="B757" s="45"/>
      <c r="C757" s="47"/>
    </row>
    <row r="758">
      <c r="A758" s="45"/>
      <c r="B758" s="45"/>
      <c r="C758" s="47"/>
    </row>
    <row r="759">
      <c r="A759" s="45"/>
      <c r="B759" s="45"/>
      <c r="C759" s="47"/>
    </row>
    <row r="760">
      <c r="A760" s="45"/>
      <c r="B760" s="45"/>
      <c r="C760" s="47"/>
    </row>
    <row r="761">
      <c r="A761" s="45"/>
      <c r="B761" s="45"/>
      <c r="C761" s="47"/>
    </row>
    <row r="762">
      <c r="A762" s="45"/>
      <c r="B762" s="45"/>
      <c r="C762" s="47"/>
    </row>
    <row r="763">
      <c r="A763" s="45"/>
      <c r="B763" s="45"/>
      <c r="C763" s="47"/>
    </row>
    <row r="764">
      <c r="A764" s="45"/>
      <c r="B764" s="45"/>
      <c r="C764" s="47"/>
    </row>
    <row r="765">
      <c r="A765" s="45"/>
      <c r="B765" s="45"/>
      <c r="C765" s="47"/>
    </row>
    <row r="766">
      <c r="A766" s="45"/>
      <c r="B766" s="45"/>
      <c r="C766" s="47"/>
    </row>
    <row r="767">
      <c r="A767" s="45"/>
      <c r="B767" s="45"/>
      <c r="C767" s="47"/>
    </row>
    <row r="768">
      <c r="A768" s="45"/>
      <c r="B768" s="45"/>
      <c r="C768" s="47"/>
    </row>
    <row r="769">
      <c r="A769" s="45"/>
      <c r="B769" s="45"/>
      <c r="C769" s="47"/>
    </row>
    <row r="770">
      <c r="A770" s="45"/>
      <c r="B770" s="45"/>
      <c r="C770" s="47"/>
    </row>
    <row r="771">
      <c r="A771" s="45"/>
      <c r="B771" s="45"/>
      <c r="C771" s="47"/>
    </row>
    <row r="772">
      <c r="A772" s="45"/>
      <c r="B772" s="45"/>
      <c r="C772" s="47"/>
    </row>
    <row r="773">
      <c r="A773" s="45"/>
      <c r="B773" s="45"/>
      <c r="C773" s="47"/>
    </row>
    <row r="774">
      <c r="A774" s="45"/>
      <c r="B774" s="45"/>
      <c r="C774" s="47"/>
    </row>
    <row r="775">
      <c r="A775" s="45"/>
      <c r="B775" s="45"/>
      <c r="C775" s="47"/>
    </row>
    <row r="776">
      <c r="A776" s="45"/>
      <c r="B776" s="45"/>
      <c r="C776" s="47"/>
    </row>
    <row r="777">
      <c r="A777" s="45"/>
      <c r="B777" s="45"/>
      <c r="C777" s="47"/>
    </row>
    <row r="778">
      <c r="A778" s="45"/>
      <c r="B778" s="45"/>
      <c r="C778" s="47"/>
    </row>
    <row r="779">
      <c r="A779" s="45"/>
      <c r="B779" s="45"/>
      <c r="C779" s="47"/>
    </row>
    <row r="780">
      <c r="A780" s="45"/>
      <c r="B780" s="45"/>
      <c r="C780" s="47"/>
    </row>
    <row r="781">
      <c r="A781" s="45"/>
      <c r="B781" s="45"/>
      <c r="C781" s="47"/>
    </row>
    <row r="782">
      <c r="A782" s="45"/>
      <c r="B782" s="45"/>
      <c r="C782" s="47"/>
    </row>
    <row r="783">
      <c r="A783" s="45"/>
      <c r="B783" s="45"/>
      <c r="C783" s="47"/>
    </row>
    <row r="784">
      <c r="A784" s="45"/>
      <c r="B784" s="45"/>
      <c r="C784" s="47"/>
    </row>
    <row r="785">
      <c r="A785" s="45"/>
      <c r="B785" s="45"/>
      <c r="C785" s="47"/>
    </row>
    <row r="786">
      <c r="A786" s="45"/>
      <c r="B786" s="45"/>
      <c r="C786" s="47"/>
    </row>
    <row r="787">
      <c r="A787" s="45"/>
      <c r="B787" s="45"/>
      <c r="C787" s="47"/>
    </row>
    <row r="788">
      <c r="A788" s="45"/>
      <c r="B788" s="45"/>
      <c r="C788" s="47"/>
    </row>
    <row r="789">
      <c r="A789" s="45"/>
      <c r="B789" s="45"/>
      <c r="C789" s="47"/>
    </row>
    <row r="790">
      <c r="A790" s="45"/>
      <c r="B790" s="45"/>
      <c r="C790" s="47"/>
    </row>
    <row r="791">
      <c r="A791" s="45"/>
      <c r="B791" s="45"/>
      <c r="C791" s="47"/>
    </row>
    <row r="792">
      <c r="A792" s="45"/>
      <c r="B792" s="45"/>
      <c r="C792" s="47"/>
    </row>
    <row r="793">
      <c r="A793" s="45"/>
      <c r="B793" s="45"/>
      <c r="C793" s="47"/>
    </row>
    <row r="794">
      <c r="A794" s="45"/>
      <c r="B794" s="45"/>
      <c r="C794" s="47"/>
    </row>
    <row r="795">
      <c r="A795" s="45"/>
      <c r="B795" s="45"/>
      <c r="C795" s="47"/>
    </row>
    <row r="796">
      <c r="A796" s="45"/>
      <c r="B796" s="45"/>
      <c r="C796" s="47"/>
    </row>
    <row r="797">
      <c r="A797" s="45"/>
      <c r="B797" s="45"/>
      <c r="C797" s="47"/>
    </row>
    <row r="798">
      <c r="A798" s="45"/>
      <c r="B798" s="45"/>
      <c r="C798" s="47"/>
    </row>
    <row r="799">
      <c r="A799" s="45"/>
      <c r="B799" s="45"/>
      <c r="C799" s="47"/>
    </row>
    <row r="800">
      <c r="A800" s="45"/>
      <c r="B800" s="45"/>
      <c r="C800" s="47"/>
    </row>
    <row r="801">
      <c r="A801" s="45"/>
      <c r="B801" s="45"/>
      <c r="C801" s="47"/>
    </row>
    <row r="802">
      <c r="A802" s="45"/>
      <c r="B802" s="45"/>
      <c r="C802" s="47"/>
    </row>
    <row r="803">
      <c r="A803" s="45"/>
      <c r="B803" s="45"/>
      <c r="C803" s="47"/>
    </row>
    <row r="804">
      <c r="A804" s="45"/>
      <c r="B804" s="45"/>
      <c r="C804" s="47"/>
    </row>
    <row r="805">
      <c r="A805" s="45"/>
      <c r="B805" s="45"/>
      <c r="C805" s="47"/>
    </row>
    <row r="806">
      <c r="A806" s="45"/>
      <c r="B806" s="45"/>
      <c r="C806" s="47"/>
    </row>
    <row r="807">
      <c r="A807" s="45"/>
      <c r="B807" s="45"/>
      <c r="C807" s="47"/>
    </row>
    <row r="808">
      <c r="A808" s="45"/>
      <c r="B808" s="45"/>
      <c r="C808" s="47"/>
    </row>
    <row r="809">
      <c r="A809" s="45"/>
      <c r="B809" s="45"/>
      <c r="C809" s="47"/>
    </row>
    <row r="810">
      <c r="A810" s="45"/>
      <c r="B810" s="45"/>
      <c r="C810" s="47"/>
    </row>
    <row r="811">
      <c r="A811" s="45"/>
      <c r="B811" s="45"/>
      <c r="C811" s="47"/>
    </row>
    <row r="812">
      <c r="A812" s="45"/>
      <c r="B812" s="45"/>
      <c r="C812" s="47"/>
    </row>
    <row r="813">
      <c r="A813" s="45"/>
      <c r="B813" s="45"/>
      <c r="C813" s="47"/>
    </row>
    <row r="814">
      <c r="A814" s="45"/>
      <c r="B814" s="45"/>
      <c r="C814" s="47"/>
    </row>
    <row r="815">
      <c r="A815" s="45"/>
      <c r="B815" s="45"/>
      <c r="C815" s="47"/>
    </row>
    <row r="816">
      <c r="A816" s="45"/>
      <c r="B816" s="45"/>
      <c r="C816" s="47"/>
    </row>
    <row r="817">
      <c r="A817" s="45"/>
      <c r="B817" s="45"/>
      <c r="C817" s="47"/>
    </row>
    <row r="818">
      <c r="A818" s="45"/>
      <c r="B818" s="45"/>
      <c r="C818" s="47"/>
    </row>
    <row r="819">
      <c r="A819" s="45"/>
      <c r="B819" s="45"/>
      <c r="C819" s="47"/>
    </row>
    <row r="820">
      <c r="A820" s="45"/>
      <c r="B820" s="45"/>
      <c r="C820" s="47"/>
    </row>
    <row r="821">
      <c r="A821" s="45"/>
      <c r="B821" s="45"/>
      <c r="C821" s="47"/>
    </row>
    <row r="822">
      <c r="A822" s="45"/>
      <c r="B822" s="45"/>
      <c r="C822" s="47"/>
    </row>
    <row r="823">
      <c r="A823" s="45"/>
      <c r="B823" s="45"/>
      <c r="C823" s="47"/>
    </row>
    <row r="824">
      <c r="A824" s="45"/>
      <c r="B824" s="45"/>
      <c r="C824" s="47"/>
    </row>
    <row r="825">
      <c r="A825" s="45"/>
      <c r="B825" s="45"/>
      <c r="C825" s="47"/>
    </row>
    <row r="826">
      <c r="A826" s="45"/>
      <c r="B826" s="45"/>
      <c r="C826" s="47"/>
    </row>
    <row r="827">
      <c r="A827" s="45"/>
      <c r="B827" s="45"/>
      <c r="C827" s="47"/>
    </row>
    <row r="828">
      <c r="A828" s="45"/>
      <c r="B828" s="45"/>
      <c r="C828" s="47"/>
    </row>
    <row r="829">
      <c r="A829" s="45"/>
      <c r="B829" s="45"/>
      <c r="C829" s="47"/>
    </row>
    <row r="830">
      <c r="A830" s="45"/>
      <c r="B830" s="45"/>
      <c r="C830" s="47"/>
    </row>
    <row r="831">
      <c r="A831" s="45"/>
      <c r="B831" s="45"/>
      <c r="C831" s="47"/>
    </row>
    <row r="832">
      <c r="A832" s="45"/>
      <c r="B832" s="45"/>
      <c r="C832" s="47"/>
    </row>
    <row r="833">
      <c r="A833" s="45"/>
      <c r="B833" s="45"/>
      <c r="C833" s="47"/>
    </row>
    <row r="834">
      <c r="A834" s="45"/>
      <c r="B834" s="45"/>
      <c r="C834" s="47"/>
    </row>
    <row r="835">
      <c r="A835" s="45"/>
      <c r="B835" s="45"/>
      <c r="C835" s="47"/>
    </row>
    <row r="836">
      <c r="A836" s="45"/>
      <c r="B836" s="45"/>
      <c r="C836" s="47"/>
    </row>
    <row r="837">
      <c r="A837" s="45"/>
      <c r="B837" s="45"/>
      <c r="C837" s="47"/>
    </row>
    <row r="838">
      <c r="A838" s="45"/>
      <c r="B838" s="45"/>
      <c r="C838" s="47"/>
    </row>
    <row r="839">
      <c r="A839" s="45"/>
      <c r="B839" s="45"/>
      <c r="C839" s="47"/>
    </row>
    <row r="840">
      <c r="A840" s="45"/>
      <c r="B840" s="45"/>
      <c r="C840" s="47"/>
    </row>
    <row r="841">
      <c r="A841" s="45"/>
      <c r="B841" s="45"/>
      <c r="C841" s="47"/>
    </row>
    <row r="842">
      <c r="A842" s="45"/>
      <c r="B842" s="45"/>
      <c r="C842" s="47"/>
    </row>
    <row r="843">
      <c r="A843" s="45"/>
      <c r="B843" s="45"/>
      <c r="C843" s="47"/>
    </row>
    <row r="844">
      <c r="A844" s="45"/>
      <c r="B844" s="45"/>
      <c r="C844" s="47"/>
    </row>
    <row r="845">
      <c r="A845" s="45"/>
      <c r="B845" s="45"/>
      <c r="C845" s="47"/>
    </row>
    <row r="846">
      <c r="A846" s="45"/>
      <c r="B846" s="45"/>
      <c r="C846" s="47"/>
    </row>
    <row r="847">
      <c r="A847" s="45"/>
      <c r="B847" s="45"/>
      <c r="C847" s="47"/>
    </row>
    <row r="848">
      <c r="A848" s="45"/>
      <c r="B848" s="45"/>
      <c r="C848" s="47"/>
    </row>
    <row r="849">
      <c r="A849" s="45"/>
      <c r="B849" s="45"/>
      <c r="C849" s="47"/>
    </row>
    <row r="850">
      <c r="A850" s="45"/>
      <c r="B850" s="45"/>
      <c r="C850" s="47"/>
    </row>
    <row r="851">
      <c r="A851" s="45"/>
      <c r="B851" s="45"/>
      <c r="C851" s="47"/>
    </row>
    <row r="852">
      <c r="A852" s="45"/>
      <c r="B852" s="45"/>
      <c r="C852" s="47"/>
    </row>
    <row r="853">
      <c r="A853" s="45"/>
      <c r="B853" s="45"/>
      <c r="C853" s="47"/>
    </row>
    <row r="854">
      <c r="A854" s="45"/>
      <c r="B854" s="45"/>
      <c r="C854" s="47"/>
    </row>
    <row r="855">
      <c r="A855" s="45"/>
      <c r="B855" s="45"/>
      <c r="C855" s="47"/>
    </row>
    <row r="856">
      <c r="A856" s="45"/>
      <c r="B856" s="45"/>
      <c r="C856" s="47"/>
    </row>
    <row r="857">
      <c r="A857" s="45"/>
      <c r="B857" s="45"/>
      <c r="C857" s="47"/>
    </row>
    <row r="858">
      <c r="A858" s="45"/>
      <c r="B858" s="45"/>
      <c r="C858" s="47"/>
    </row>
    <row r="859">
      <c r="A859" s="45"/>
      <c r="B859" s="45"/>
      <c r="C859" s="47"/>
    </row>
    <row r="860">
      <c r="A860" s="45"/>
      <c r="B860" s="45"/>
      <c r="C860" s="47"/>
    </row>
    <row r="861">
      <c r="A861" s="45"/>
      <c r="B861" s="45"/>
      <c r="C861" s="47"/>
    </row>
    <row r="862">
      <c r="A862" s="45"/>
      <c r="B862" s="45"/>
      <c r="C862" s="47"/>
    </row>
    <row r="863">
      <c r="A863" s="45"/>
      <c r="B863" s="45"/>
      <c r="C863" s="47"/>
    </row>
    <row r="864">
      <c r="A864" s="45"/>
      <c r="B864" s="45"/>
      <c r="C864" s="47"/>
    </row>
    <row r="865">
      <c r="A865" s="45"/>
      <c r="B865" s="45"/>
      <c r="C865" s="47"/>
    </row>
    <row r="866">
      <c r="A866" s="45"/>
      <c r="B866" s="45"/>
      <c r="C866" s="47"/>
    </row>
    <row r="867">
      <c r="A867" s="45"/>
      <c r="B867" s="45"/>
      <c r="C867" s="47"/>
    </row>
    <row r="868">
      <c r="A868" s="45"/>
      <c r="B868" s="45"/>
      <c r="C868" s="47"/>
    </row>
    <row r="869">
      <c r="A869" s="45"/>
      <c r="B869" s="45"/>
      <c r="C869" s="47"/>
    </row>
    <row r="870">
      <c r="A870" s="45"/>
      <c r="B870" s="45"/>
      <c r="C870" s="47"/>
    </row>
    <row r="871">
      <c r="A871" s="45"/>
      <c r="B871" s="45"/>
      <c r="C871" s="47"/>
    </row>
    <row r="872">
      <c r="A872" s="45"/>
      <c r="B872" s="45"/>
      <c r="C872" s="47"/>
    </row>
    <row r="873">
      <c r="A873" s="45"/>
      <c r="B873" s="45"/>
      <c r="C873" s="47"/>
    </row>
    <row r="874">
      <c r="A874" s="45"/>
      <c r="B874" s="45"/>
      <c r="C874" s="47"/>
    </row>
    <row r="875">
      <c r="A875" s="45"/>
      <c r="B875" s="45"/>
      <c r="C875" s="47"/>
    </row>
    <row r="876">
      <c r="A876" s="45"/>
      <c r="B876" s="45"/>
      <c r="C876" s="47"/>
    </row>
    <row r="877">
      <c r="A877" s="45"/>
      <c r="B877" s="45"/>
      <c r="C877" s="47"/>
    </row>
    <row r="878">
      <c r="A878" s="45"/>
      <c r="B878" s="45"/>
      <c r="C878" s="47"/>
    </row>
    <row r="879">
      <c r="A879" s="45"/>
      <c r="B879" s="45"/>
      <c r="C879" s="47"/>
    </row>
    <row r="880">
      <c r="A880" s="45"/>
      <c r="B880" s="45"/>
      <c r="C880" s="47"/>
    </row>
    <row r="881">
      <c r="A881" s="45"/>
      <c r="B881" s="45"/>
      <c r="C881" s="47"/>
    </row>
    <row r="882">
      <c r="A882" s="45"/>
      <c r="B882" s="45"/>
      <c r="C882" s="47"/>
    </row>
    <row r="883">
      <c r="A883" s="45"/>
      <c r="B883" s="45"/>
      <c r="C883" s="47"/>
    </row>
    <row r="884">
      <c r="A884" s="45"/>
      <c r="B884" s="45"/>
      <c r="C884" s="47"/>
    </row>
    <row r="885">
      <c r="A885" s="45"/>
      <c r="B885" s="45"/>
      <c r="C885" s="47"/>
    </row>
    <row r="886">
      <c r="A886" s="45"/>
      <c r="B886" s="45"/>
      <c r="C886" s="47"/>
    </row>
    <row r="887">
      <c r="A887" s="45"/>
      <c r="B887" s="45"/>
      <c r="C887" s="47"/>
    </row>
    <row r="888">
      <c r="A888" s="45"/>
      <c r="B888" s="45"/>
      <c r="C888" s="47"/>
    </row>
    <row r="889">
      <c r="A889" s="45"/>
      <c r="B889" s="45"/>
      <c r="C889" s="47"/>
    </row>
    <row r="890">
      <c r="A890" s="45"/>
      <c r="B890" s="45"/>
      <c r="C890" s="47"/>
    </row>
    <row r="891">
      <c r="A891" s="45"/>
      <c r="B891" s="45"/>
      <c r="C891" s="47"/>
    </row>
    <row r="892">
      <c r="A892" s="45"/>
      <c r="B892" s="45"/>
      <c r="C892" s="47"/>
    </row>
    <row r="893">
      <c r="A893" s="45"/>
      <c r="B893" s="45"/>
      <c r="C893" s="47"/>
    </row>
    <row r="894">
      <c r="A894" s="45"/>
      <c r="B894" s="45"/>
      <c r="C894" s="47"/>
    </row>
    <row r="895">
      <c r="A895" s="45"/>
      <c r="B895" s="45"/>
      <c r="C895" s="47"/>
    </row>
    <row r="896">
      <c r="A896" s="45"/>
      <c r="B896" s="45"/>
      <c r="C896" s="47"/>
    </row>
    <row r="897">
      <c r="A897" s="45"/>
      <c r="B897" s="45"/>
      <c r="C897" s="47"/>
    </row>
    <row r="898">
      <c r="A898" s="45"/>
      <c r="B898" s="45"/>
      <c r="C898" s="47"/>
    </row>
    <row r="899">
      <c r="A899" s="45"/>
      <c r="B899" s="45"/>
      <c r="C899" s="47"/>
    </row>
    <row r="900">
      <c r="A900" s="45"/>
      <c r="B900" s="45"/>
      <c r="C900" s="47"/>
    </row>
    <row r="901">
      <c r="A901" s="45"/>
      <c r="B901" s="45"/>
      <c r="C901" s="47"/>
    </row>
    <row r="902">
      <c r="A902" s="45"/>
      <c r="B902" s="45"/>
      <c r="C902" s="47"/>
    </row>
    <row r="903">
      <c r="A903" s="45"/>
      <c r="B903" s="45"/>
      <c r="C903" s="47"/>
    </row>
    <row r="904">
      <c r="A904" s="45"/>
      <c r="B904" s="45"/>
      <c r="C904" s="47"/>
    </row>
    <row r="905">
      <c r="A905" s="45"/>
      <c r="B905" s="45"/>
      <c r="C905" s="47"/>
    </row>
    <row r="906">
      <c r="A906" s="45"/>
      <c r="B906" s="45"/>
      <c r="C906" s="47"/>
    </row>
    <row r="907">
      <c r="A907" s="45"/>
      <c r="B907" s="45"/>
      <c r="C907" s="47"/>
    </row>
    <row r="908">
      <c r="A908" s="45"/>
      <c r="B908" s="45"/>
      <c r="C908" s="47"/>
    </row>
    <row r="909">
      <c r="A909" s="45"/>
      <c r="B909" s="45"/>
      <c r="C909" s="47"/>
    </row>
    <row r="910">
      <c r="A910" s="45"/>
      <c r="B910" s="45"/>
      <c r="C910" s="47"/>
    </row>
    <row r="911">
      <c r="A911" s="45"/>
      <c r="B911" s="45"/>
      <c r="C911" s="47"/>
    </row>
    <row r="912">
      <c r="A912" s="45"/>
      <c r="B912" s="45"/>
      <c r="C912" s="47"/>
    </row>
    <row r="913">
      <c r="A913" s="45"/>
      <c r="B913" s="45"/>
      <c r="C913" s="47"/>
    </row>
    <row r="914">
      <c r="A914" s="45"/>
      <c r="B914" s="45"/>
      <c r="C914" s="47"/>
    </row>
    <row r="915">
      <c r="A915" s="45"/>
      <c r="B915" s="45"/>
      <c r="C915" s="47"/>
    </row>
    <row r="916">
      <c r="A916" s="45"/>
      <c r="B916" s="45"/>
      <c r="C916" s="47"/>
    </row>
    <row r="917">
      <c r="A917" s="45"/>
      <c r="B917" s="45"/>
      <c r="C917" s="47"/>
    </row>
    <row r="918">
      <c r="A918" s="45"/>
      <c r="B918" s="45"/>
      <c r="C918" s="47"/>
    </row>
    <row r="919">
      <c r="A919" s="45"/>
      <c r="B919" s="45"/>
      <c r="C919" s="47"/>
    </row>
    <row r="920">
      <c r="A920" s="45"/>
      <c r="B920" s="45"/>
      <c r="C920" s="47"/>
    </row>
    <row r="921">
      <c r="A921" s="45"/>
      <c r="B921" s="45"/>
      <c r="C921" s="47"/>
    </row>
    <row r="922">
      <c r="A922" s="45"/>
      <c r="B922" s="45"/>
      <c r="C922" s="47"/>
    </row>
    <row r="923">
      <c r="A923" s="45"/>
      <c r="B923" s="45"/>
      <c r="C923" s="47"/>
    </row>
    <row r="924">
      <c r="A924" s="45"/>
      <c r="B924" s="45"/>
      <c r="C924" s="47"/>
    </row>
    <row r="925">
      <c r="A925" s="45"/>
      <c r="B925" s="45"/>
      <c r="C925" s="47"/>
    </row>
    <row r="926">
      <c r="A926" s="45"/>
      <c r="B926" s="45"/>
      <c r="C926" s="47"/>
    </row>
    <row r="927">
      <c r="A927" s="45"/>
      <c r="B927" s="45"/>
      <c r="C927" s="47"/>
    </row>
    <row r="928">
      <c r="A928" s="45"/>
      <c r="B928" s="45"/>
      <c r="C928" s="47"/>
    </row>
    <row r="929">
      <c r="A929" s="45"/>
      <c r="B929" s="45"/>
      <c r="C929" s="47"/>
    </row>
    <row r="930">
      <c r="A930" s="45"/>
      <c r="B930" s="45"/>
      <c r="C930" s="47"/>
    </row>
    <row r="931">
      <c r="A931" s="45"/>
      <c r="B931" s="45"/>
      <c r="C931" s="47"/>
    </row>
    <row r="932">
      <c r="A932" s="45"/>
      <c r="B932" s="45"/>
      <c r="C932" s="47"/>
    </row>
    <row r="933">
      <c r="A933" s="45"/>
      <c r="B933" s="45"/>
      <c r="C933" s="47"/>
    </row>
    <row r="934">
      <c r="A934" s="45"/>
      <c r="B934" s="45"/>
      <c r="C934" s="47"/>
    </row>
    <row r="935">
      <c r="A935" s="45"/>
      <c r="B935" s="45"/>
      <c r="C935" s="47"/>
    </row>
    <row r="936">
      <c r="A936" s="45"/>
      <c r="B936" s="45"/>
      <c r="C936" s="47"/>
    </row>
    <row r="937">
      <c r="A937" s="45"/>
      <c r="B937" s="45"/>
      <c r="C937" s="47"/>
    </row>
    <row r="938">
      <c r="A938" s="45"/>
      <c r="B938" s="45"/>
      <c r="C938" s="47"/>
    </row>
    <row r="939">
      <c r="A939" s="45"/>
      <c r="B939" s="45"/>
      <c r="C939" s="47"/>
    </row>
    <row r="940">
      <c r="A940" s="45"/>
      <c r="B940" s="45"/>
      <c r="C940" s="47"/>
    </row>
    <row r="941">
      <c r="A941" s="45"/>
      <c r="B941" s="45"/>
      <c r="C941" s="47"/>
    </row>
    <row r="942">
      <c r="A942" s="45"/>
      <c r="B942" s="45"/>
      <c r="C942" s="47"/>
    </row>
    <row r="943">
      <c r="A943" s="45"/>
      <c r="B943" s="45"/>
      <c r="C943" s="47"/>
    </row>
    <row r="944">
      <c r="A944" s="45"/>
      <c r="B944" s="45"/>
      <c r="C944" s="47"/>
    </row>
    <row r="945">
      <c r="A945" s="45"/>
      <c r="B945" s="45"/>
      <c r="C945" s="47"/>
    </row>
    <row r="946">
      <c r="A946" s="45"/>
      <c r="B946" s="45"/>
      <c r="C946" s="47"/>
    </row>
    <row r="947">
      <c r="A947" s="45"/>
      <c r="B947" s="45"/>
      <c r="C947" s="47"/>
    </row>
    <row r="948">
      <c r="A948" s="45"/>
      <c r="B948" s="45"/>
      <c r="C948" s="47"/>
    </row>
    <row r="949">
      <c r="A949" s="45"/>
      <c r="B949" s="45"/>
      <c r="C949" s="47"/>
    </row>
    <row r="950">
      <c r="A950" s="45"/>
      <c r="B950" s="45"/>
      <c r="C950" s="47"/>
    </row>
    <row r="951">
      <c r="A951" s="45"/>
      <c r="B951" s="45"/>
      <c r="C951" s="47"/>
    </row>
    <row r="952">
      <c r="A952" s="45"/>
      <c r="B952" s="45"/>
      <c r="C952" s="47"/>
    </row>
    <row r="953">
      <c r="A953" s="45"/>
      <c r="B953" s="45"/>
      <c r="C953" s="47"/>
    </row>
    <row r="954">
      <c r="A954" s="45"/>
      <c r="B954" s="45"/>
      <c r="C954" s="47"/>
    </row>
    <row r="955">
      <c r="A955" s="45"/>
      <c r="B955" s="45"/>
      <c r="C955" s="47"/>
    </row>
    <row r="956">
      <c r="A956" s="45"/>
      <c r="B956" s="45"/>
      <c r="C956" s="47"/>
    </row>
    <row r="957">
      <c r="A957" s="45"/>
      <c r="B957" s="45"/>
      <c r="C957" s="47"/>
    </row>
    <row r="958">
      <c r="A958" s="45"/>
      <c r="B958" s="45"/>
      <c r="C958" s="47"/>
    </row>
    <row r="959">
      <c r="A959" s="45"/>
      <c r="B959" s="45"/>
      <c r="C959" s="47"/>
    </row>
    <row r="960">
      <c r="A960" s="45"/>
      <c r="B960" s="45"/>
      <c r="C960" s="47"/>
    </row>
    <row r="961">
      <c r="A961" s="45"/>
      <c r="B961" s="45"/>
      <c r="C961" s="47"/>
    </row>
    <row r="962">
      <c r="A962" s="45"/>
      <c r="B962" s="45"/>
      <c r="C962" s="47"/>
    </row>
    <row r="963">
      <c r="A963" s="45"/>
      <c r="B963" s="45"/>
      <c r="C963" s="47"/>
    </row>
    <row r="964">
      <c r="A964" s="45"/>
      <c r="B964" s="45"/>
      <c r="C964" s="47"/>
    </row>
    <row r="965">
      <c r="A965" s="45"/>
      <c r="B965" s="45"/>
      <c r="C965" s="47"/>
    </row>
    <row r="966">
      <c r="A966" s="45"/>
      <c r="B966" s="45"/>
      <c r="C966" s="47"/>
    </row>
    <row r="967">
      <c r="A967" s="45"/>
      <c r="B967" s="45"/>
      <c r="C967" s="47"/>
    </row>
    <row r="968">
      <c r="A968" s="45"/>
      <c r="B968" s="45"/>
      <c r="C968" s="47"/>
    </row>
    <row r="969">
      <c r="A969" s="45"/>
      <c r="B969" s="45"/>
      <c r="C969" s="47"/>
    </row>
    <row r="970">
      <c r="A970" s="45"/>
      <c r="B970" s="45"/>
      <c r="C970" s="47"/>
    </row>
    <row r="971">
      <c r="A971" s="45"/>
      <c r="B971" s="45"/>
      <c r="C971" s="47"/>
    </row>
    <row r="972">
      <c r="A972" s="45"/>
      <c r="B972" s="45"/>
      <c r="C972" s="47"/>
    </row>
    <row r="973">
      <c r="A973" s="45"/>
      <c r="B973" s="45"/>
      <c r="C973" s="47"/>
    </row>
    <row r="974">
      <c r="A974" s="45"/>
      <c r="B974" s="45"/>
      <c r="C974" s="47"/>
    </row>
    <row r="975">
      <c r="A975" s="45"/>
      <c r="B975" s="45"/>
      <c r="C975" s="47"/>
    </row>
    <row r="976">
      <c r="A976" s="45"/>
      <c r="B976" s="45"/>
      <c r="C976" s="47"/>
    </row>
    <row r="977">
      <c r="A977" s="45"/>
      <c r="B977" s="45"/>
      <c r="C977" s="47"/>
    </row>
    <row r="978">
      <c r="A978" s="45"/>
      <c r="B978" s="45"/>
      <c r="C978" s="47"/>
    </row>
    <row r="979">
      <c r="A979" s="45"/>
      <c r="B979" s="45"/>
      <c r="C979" s="47"/>
    </row>
    <row r="980">
      <c r="A980" s="45"/>
      <c r="B980" s="45"/>
      <c r="C980" s="47"/>
    </row>
    <row r="981">
      <c r="A981" s="45"/>
      <c r="B981" s="45"/>
      <c r="C981" s="47"/>
    </row>
    <row r="982">
      <c r="A982" s="45"/>
      <c r="B982" s="45"/>
      <c r="C982" s="47"/>
    </row>
    <row r="983">
      <c r="A983" s="45"/>
      <c r="B983" s="45"/>
      <c r="C983" s="47"/>
    </row>
    <row r="984">
      <c r="A984" s="45"/>
      <c r="B984" s="45"/>
      <c r="C984" s="47"/>
    </row>
    <row r="985">
      <c r="A985" s="45"/>
      <c r="B985" s="45"/>
      <c r="C985" s="47"/>
    </row>
    <row r="986">
      <c r="A986" s="45"/>
      <c r="B986" s="45"/>
      <c r="C986" s="47"/>
    </row>
    <row r="987">
      <c r="A987" s="45"/>
      <c r="B987" s="45"/>
      <c r="C987" s="47"/>
    </row>
    <row r="988">
      <c r="A988" s="45"/>
      <c r="B988" s="45"/>
      <c r="C988" s="47"/>
    </row>
    <row r="989">
      <c r="A989" s="45"/>
      <c r="B989" s="45"/>
      <c r="C989" s="47"/>
    </row>
    <row r="990">
      <c r="A990" s="45"/>
      <c r="B990" s="45"/>
      <c r="C990" s="47"/>
    </row>
    <row r="991">
      <c r="A991" s="45"/>
      <c r="B991" s="45"/>
      <c r="C991" s="47"/>
    </row>
    <row r="992">
      <c r="A992" s="45"/>
      <c r="B992" s="45"/>
      <c r="C992" s="47"/>
    </row>
    <row r="993">
      <c r="A993" s="45"/>
      <c r="B993" s="45"/>
      <c r="C993" s="47"/>
    </row>
    <row r="994">
      <c r="A994" s="45"/>
      <c r="B994" s="45"/>
      <c r="C994" s="47"/>
    </row>
    <row r="995">
      <c r="A995" s="45"/>
      <c r="B995" s="45"/>
      <c r="C995" s="47"/>
    </row>
    <row r="996">
      <c r="A996" s="45"/>
      <c r="B996" s="45"/>
      <c r="C996" s="47"/>
    </row>
    <row r="997">
      <c r="A997" s="45"/>
      <c r="B997" s="45"/>
      <c r="C997" s="47"/>
    </row>
    <row r="998">
      <c r="A998" s="45"/>
      <c r="B998" s="45"/>
      <c r="C998" s="47"/>
    </row>
    <row r="999">
      <c r="A999" s="45"/>
      <c r="B999" s="45"/>
      <c r="C999" s="47"/>
    </row>
    <row r="1000">
      <c r="A1000" s="45"/>
      <c r="B1000" s="45"/>
      <c r="C1000" s="47"/>
    </row>
    <row r="1001">
      <c r="A1001" s="45"/>
      <c r="B1001" s="45"/>
      <c r="C1001" s="47"/>
    </row>
    <row r="1002">
      <c r="A1002" s="45"/>
      <c r="B1002" s="45"/>
      <c r="C1002" s="47"/>
    </row>
    <row r="1003">
      <c r="A1003" s="45"/>
      <c r="B1003" s="45"/>
      <c r="C1003" s="47"/>
    </row>
    <row r="1004">
      <c r="A1004" s="45"/>
      <c r="B1004" s="45"/>
      <c r="C1004" s="47"/>
    </row>
    <row r="1005">
      <c r="A1005" s="45"/>
      <c r="B1005" s="45"/>
      <c r="C1005" s="47"/>
    </row>
    <row r="1006">
      <c r="A1006" s="45"/>
      <c r="B1006" s="45"/>
      <c r="C1006" s="47"/>
    </row>
    <row r="1007">
      <c r="A1007" s="45"/>
      <c r="B1007" s="45"/>
      <c r="C1007" s="47"/>
    </row>
    <row r="1008">
      <c r="A1008" s="45"/>
      <c r="B1008" s="45"/>
      <c r="C1008" s="47"/>
    </row>
    <row r="1009">
      <c r="A1009" s="45"/>
      <c r="B1009" s="45"/>
      <c r="C1009" s="47"/>
    </row>
    <row r="1010">
      <c r="A1010" s="45"/>
      <c r="B1010" s="45"/>
      <c r="C1010" s="47"/>
    </row>
    <row r="1011">
      <c r="A1011" s="45"/>
      <c r="B1011" s="45"/>
      <c r="C1011" s="47"/>
    </row>
    <row r="1012">
      <c r="A1012" s="45"/>
      <c r="B1012" s="45"/>
      <c r="C1012" s="47"/>
    </row>
    <row r="1013">
      <c r="A1013" s="45"/>
      <c r="B1013" s="45"/>
      <c r="C1013" s="47"/>
    </row>
    <row r="1014">
      <c r="A1014" s="45"/>
      <c r="B1014" s="45"/>
      <c r="C1014" s="47"/>
    </row>
    <row r="1015">
      <c r="A1015" s="45"/>
      <c r="B1015" s="45"/>
      <c r="C1015" s="47"/>
    </row>
    <row r="1016">
      <c r="A1016" s="45"/>
      <c r="B1016" s="45"/>
      <c r="C1016" s="47"/>
    </row>
    <row r="1017">
      <c r="A1017" s="45"/>
      <c r="B1017" s="45"/>
      <c r="C1017" s="47"/>
    </row>
    <row r="1018">
      <c r="A1018" s="45"/>
      <c r="B1018" s="45"/>
      <c r="C1018" s="47"/>
    </row>
    <row r="1019">
      <c r="A1019" s="45"/>
      <c r="B1019" s="45"/>
      <c r="C1019" s="47"/>
    </row>
    <row r="1020">
      <c r="A1020" s="45"/>
      <c r="B1020" s="45"/>
      <c r="C1020" s="47"/>
    </row>
    <row r="1021">
      <c r="A1021" s="45"/>
      <c r="B1021" s="45"/>
      <c r="C1021" s="47"/>
    </row>
    <row r="1022">
      <c r="A1022" s="45"/>
      <c r="B1022" s="45"/>
      <c r="C1022" s="47"/>
    </row>
    <row r="1023">
      <c r="A1023" s="45"/>
      <c r="B1023" s="45"/>
      <c r="C1023" s="47"/>
    </row>
    <row r="1024">
      <c r="A1024" s="45"/>
      <c r="B1024" s="45"/>
      <c r="C1024" s="47"/>
    </row>
    <row r="1025">
      <c r="A1025" s="45"/>
      <c r="B1025" s="45"/>
      <c r="C1025" s="47"/>
    </row>
    <row r="1026">
      <c r="A1026" s="45"/>
      <c r="B1026" s="45"/>
      <c r="C1026" s="47"/>
    </row>
    <row r="1027">
      <c r="A1027" s="45"/>
      <c r="B1027" s="45"/>
      <c r="C1027" s="47"/>
    </row>
    <row r="1028">
      <c r="A1028" s="45"/>
      <c r="B1028" s="45"/>
      <c r="C1028" s="47"/>
    </row>
    <row r="1029">
      <c r="A1029" s="45"/>
      <c r="B1029" s="45"/>
      <c r="C1029" s="47"/>
    </row>
    <row r="1030">
      <c r="A1030" s="45"/>
      <c r="B1030" s="45"/>
      <c r="C1030" s="47"/>
    </row>
    <row r="1031">
      <c r="A1031" s="45"/>
      <c r="B1031" s="45"/>
      <c r="C1031" s="47"/>
    </row>
    <row r="1032">
      <c r="A1032" s="45"/>
      <c r="B1032" s="45"/>
      <c r="C1032" s="47"/>
    </row>
    <row r="1033">
      <c r="A1033" s="45"/>
      <c r="B1033" s="45"/>
      <c r="C1033" s="47"/>
    </row>
    <row r="1034">
      <c r="A1034" s="45"/>
      <c r="B1034" s="45"/>
      <c r="C1034" s="47"/>
    </row>
    <row r="1035">
      <c r="A1035" s="45"/>
      <c r="B1035" s="45"/>
      <c r="C1035" s="47"/>
    </row>
    <row r="1036">
      <c r="A1036" s="45"/>
      <c r="B1036" s="45"/>
      <c r="C1036" s="47"/>
    </row>
    <row r="1037">
      <c r="A1037" s="45"/>
      <c r="B1037" s="45"/>
      <c r="C1037" s="47"/>
    </row>
    <row r="1038">
      <c r="A1038" s="45"/>
      <c r="B1038" s="45"/>
      <c r="C1038" s="47"/>
    </row>
    <row r="1039">
      <c r="A1039" s="45"/>
      <c r="B1039" s="45"/>
      <c r="C1039" s="47"/>
    </row>
    <row r="1040">
      <c r="A1040" s="45"/>
      <c r="B1040" s="45"/>
      <c r="C1040" s="47"/>
    </row>
    <row r="1041">
      <c r="A1041" s="45"/>
      <c r="B1041" s="45"/>
      <c r="C1041" s="47"/>
    </row>
    <row r="1042">
      <c r="A1042" s="45"/>
      <c r="B1042" s="45"/>
      <c r="C1042" s="47"/>
    </row>
    <row r="1043">
      <c r="A1043" s="45"/>
      <c r="B1043" s="45"/>
      <c r="C1043" s="47"/>
    </row>
    <row r="1044">
      <c r="A1044" s="45"/>
      <c r="B1044" s="45"/>
      <c r="C1044" s="47"/>
    </row>
    <row r="1045">
      <c r="A1045" s="45"/>
      <c r="B1045" s="45"/>
      <c r="C1045" s="47"/>
    </row>
    <row r="1046">
      <c r="A1046" s="45"/>
      <c r="B1046" s="45"/>
      <c r="C1046" s="47"/>
    </row>
    <row r="1047">
      <c r="A1047" s="45"/>
      <c r="B1047" s="45"/>
      <c r="C1047" s="47"/>
    </row>
    <row r="1048">
      <c r="A1048" s="45"/>
      <c r="B1048" s="45"/>
      <c r="C1048" s="47"/>
    </row>
    <row r="1049">
      <c r="A1049" s="45"/>
      <c r="B1049" s="45"/>
      <c r="C1049" s="47"/>
    </row>
    <row r="1050">
      <c r="A1050" s="45"/>
      <c r="B1050" s="45"/>
      <c r="C1050" s="47"/>
    </row>
    <row r="1051">
      <c r="A1051" s="45"/>
      <c r="B1051" s="45"/>
      <c r="C1051" s="47"/>
    </row>
    <row r="1052">
      <c r="A1052" s="45"/>
      <c r="B1052" s="45"/>
      <c r="C1052" s="47"/>
    </row>
    <row r="1053">
      <c r="A1053" s="45"/>
      <c r="B1053" s="45"/>
      <c r="C1053" s="47"/>
    </row>
    <row r="1054">
      <c r="A1054" s="45"/>
      <c r="B1054" s="45"/>
      <c r="C1054" s="47"/>
    </row>
    <row r="1055">
      <c r="A1055" s="45"/>
      <c r="B1055" s="45"/>
      <c r="C1055" s="47"/>
    </row>
    <row r="1056">
      <c r="A1056" s="45"/>
      <c r="B1056" s="45"/>
      <c r="C1056" s="47"/>
    </row>
    <row r="1057">
      <c r="A1057" s="45"/>
      <c r="B1057" s="45"/>
      <c r="C1057" s="47"/>
    </row>
    <row r="1058">
      <c r="A1058" s="45"/>
      <c r="B1058" s="45"/>
      <c r="C1058" s="47"/>
    </row>
    <row r="1059">
      <c r="A1059" s="45"/>
      <c r="B1059" s="45"/>
      <c r="C1059" s="47"/>
    </row>
    <row r="1060">
      <c r="A1060" s="45"/>
      <c r="B1060" s="45"/>
      <c r="C1060" s="47"/>
    </row>
    <row r="1061">
      <c r="A1061" s="45"/>
      <c r="B1061" s="45"/>
      <c r="C1061" s="47"/>
    </row>
    <row r="1062">
      <c r="A1062" s="45"/>
      <c r="B1062" s="45"/>
      <c r="C1062" s="47"/>
    </row>
    <row r="1063">
      <c r="A1063" s="45"/>
      <c r="B1063" s="45"/>
      <c r="C1063" s="47"/>
    </row>
    <row r="1064">
      <c r="A1064" s="45"/>
      <c r="B1064" s="45"/>
      <c r="C1064" s="47"/>
    </row>
    <row r="1065">
      <c r="A1065" s="45"/>
      <c r="B1065" s="45"/>
      <c r="C1065" s="47"/>
    </row>
    <row r="1066">
      <c r="A1066" s="45"/>
      <c r="B1066" s="45"/>
      <c r="C1066" s="47"/>
    </row>
    <row r="1067">
      <c r="A1067" s="45"/>
      <c r="B1067" s="45"/>
      <c r="C1067" s="47"/>
    </row>
    <row r="1068">
      <c r="A1068" s="45"/>
      <c r="B1068" s="45"/>
      <c r="C1068" s="47"/>
    </row>
    <row r="1069">
      <c r="A1069" s="45"/>
      <c r="B1069" s="45"/>
      <c r="C1069" s="47"/>
    </row>
    <row r="1070">
      <c r="A1070" s="45"/>
      <c r="B1070" s="45"/>
      <c r="C1070" s="47"/>
    </row>
    <row r="1071">
      <c r="A1071" s="45"/>
      <c r="B1071" s="45"/>
      <c r="C1071" s="47"/>
    </row>
    <row r="1072">
      <c r="A1072" s="45"/>
      <c r="B1072" s="45"/>
      <c r="C1072" s="47"/>
    </row>
    <row r="1073">
      <c r="A1073" s="45"/>
      <c r="B1073" s="45"/>
      <c r="C1073" s="47"/>
    </row>
    <row r="1074">
      <c r="A1074" s="45"/>
      <c r="B1074" s="45"/>
      <c r="C1074" s="47"/>
    </row>
    <row r="1075">
      <c r="A1075" s="45"/>
      <c r="B1075" s="45"/>
      <c r="C1075" s="47"/>
    </row>
    <row r="1076">
      <c r="A1076" s="45"/>
      <c r="B1076" s="45"/>
      <c r="C1076" s="47"/>
    </row>
    <row r="1077">
      <c r="A1077" s="45"/>
      <c r="B1077" s="45"/>
      <c r="C1077" s="47"/>
    </row>
    <row r="1078">
      <c r="A1078" s="45"/>
      <c r="B1078" s="45"/>
      <c r="C1078" s="47"/>
    </row>
    <row r="1079">
      <c r="A1079" s="45"/>
      <c r="B1079" s="45"/>
      <c r="C1079" s="47"/>
    </row>
    <row r="1080">
      <c r="A1080" s="45"/>
      <c r="B1080" s="45"/>
      <c r="C1080" s="47"/>
    </row>
    <row r="1081">
      <c r="A1081" s="45"/>
      <c r="B1081" s="45"/>
      <c r="C1081" s="47"/>
    </row>
    <row r="1082">
      <c r="A1082" s="45"/>
      <c r="B1082" s="45"/>
      <c r="C1082" s="47"/>
    </row>
    <row r="1083">
      <c r="A1083" s="45"/>
      <c r="B1083" s="45"/>
      <c r="C1083" s="47"/>
    </row>
    <row r="1084">
      <c r="A1084" s="45"/>
      <c r="B1084" s="45"/>
      <c r="C1084" s="47"/>
    </row>
    <row r="1085">
      <c r="A1085" s="45"/>
      <c r="B1085" s="45"/>
      <c r="C1085" s="47"/>
    </row>
    <row r="1086">
      <c r="A1086" s="45"/>
      <c r="B1086" s="45"/>
      <c r="C1086" s="47"/>
    </row>
    <row r="1087">
      <c r="A1087" s="45"/>
      <c r="B1087" s="45"/>
      <c r="C1087" s="47"/>
    </row>
    <row r="1088">
      <c r="A1088" s="45"/>
      <c r="B1088" s="45"/>
      <c r="C1088" s="47"/>
    </row>
    <row r="1089">
      <c r="A1089" s="45"/>
      <c r="B1089" s="45"/>
      <c r="C1089" s="47"/>
    </row>
    <row r="1090">
      <c r="A1090" s="45"/>
      <c r="B1090" s="45"/>
      <c r="C1090" s="47"/>
    </row>
    <row r="1091">
      <c r="A1091" s="45"/>
      <c r="B1091" s="45"/>
      <c r="C1091" s="47"/>
    </row>
    <row r="1092">
      <c r="A1092" s="45"/>
      <c r="B1092" s="45"/>
      <c r="C1092" s="47"/>
    </row>
    <row r="1093">
      <c r="A1093" s="45"/>
      <c r="B1093" s="45"/>
      <c r="C1093" s="47"/>
    </row>
    <row r="1094">
      <c r="A1094" s="45"/>
      <c r="B1094" s="45"/>
      <c r="C1094" s="47"/>
    </row>
    <row r="1095">
      <c r="A1095" s="45"/>
      <c r="B1095" s="45"/>
      <c r="C1095" s="47"/>
    </row>
    <row r="1096">
      <c r="A1096" s="45"/>
      <c r="B1096" s="45"/>
      <c r="C1096" s="47"/>
    </row>
    <row r="1097">
      <c r="A1097" s="45"/>
      <c r="B1097" s="45"/>
      <c r="C1097" s="47"/>
    </row>
    <row r="1098">
      <c r="A1098" s="45"/>
      <c r="B1098" s="45"/>
      <c r="C1098" s="47"/>
    </row>
    <row r="1099">
      <c r="A1099" s="45"/>
      <c r="B1099" s="45"/>
      <c r="C1099" s="47"/>
    </row>
    <row r="1100">
      <c r="A1100" s="45"/>
      <c r="B1100" s="45"/>
      <c r="C1100" s="47"/>
    </row>
    <row r="1101">
      <c r="A1101" s="45"/>
      <c r="B1101" s="45"/>
      <c r="C1101" s="47"/>
    </row>
    <row r="1102">
      <c r="A1102" s="45"/>
      <c r="B1102" s="45"/>
      <c r="C1102" s="47"/>
    </row>
    <row r="1103">
      <c r="A1103" s="45"/>
      <c r="B1103" s="45"/>
      <c r="C1103" s="47"/>
    </row>
    <row r="1104">
      <c r="A1104" s="45"/>
      <c r="B1104" s="45"/>
      <c r="C1104" s="47"/>
    </row>
    <row r="1105">
      <c r="A1105" s="45"/>
      <c r="B1105" s="45"/>
      <c r="C1105" s="47"/>
    </row>
    <row r="1106">
      <c r="A1106" s="45"/>
      <c r="B1106" s="45"/>
      <c r="C1106" s="47"/>
    </row>
    <row r="1107">
      <c r="A1107" s="45"/>
      <c r="B1107" s="45"/>
      <c r="C1107" s="47"/>
    </row>
    <row r="1108">
      <c r="A1108" s="45"/>
      <c r="B1108" s="45"/>
      <c r="C1108" s="47"/>
    </row>
    <row r="1109">
      <c r="A1109" s="45"/>
      <c r="B1109" s="45"/>
      <c r="C1109" s="47"/>
    </row>
    <row r="1110">
      <c r="A1110" s="45"/>
      <c r="B1110" s="45"/>
      <c r="C1110" s="47"/>
    </row>
    <row r="1111">
      <c r="A1111" s="45"/>
      <c r="B1111" s="45"/>
      <c r="C1111" s="47"/>
    </row>
    <row r="1112">
      <c r="A1112" s="45"/>
      <c r="B1112" s="45"/>
      <c r="C1112" s="47"/>
    </row>
    <row r="1113">
      <c r="A1113" s="45"/>
      <c r="B1113" s="45"/>
      <c r="C1113" s="47"/>
    </row>
    <row r="1114">
      <c r="A1114" s="45"/>
      <c r="B1114" s="45"/>
      <c r="C1114" s="47"/>
    </row>
    <row r="1115">
      <c r="A1115" s="45"/>
      <c r="B1115" s="45"/>
      <c r="C1115" s="47"/>
    </row>
    <row r="1116">
      <c r="A1116" s="45"/>
      <c r="B1116" s="45"/>
      <c r="C1116" s="47"/>
    </row>
    <row r="1117">
      <c r="A1117" s="45"/>
      <c r="B1117" s="45"/>
      <c r="C1117" s="47"/>
    </row>
    <row r="1118">
      <c r="A1118" s="45"/>
      <c r="B1118" s="45"/>
      <c r="C1118" s="47"/>
    </row>
    <row r="1119">
      <c r="A1119" s="45"/>
      <c r="B1119" s="45"/>
      <c r="C1119" s="47"/>
    </row>
    <row r="1120">
      <c r="A1120" s="45"/>
      <c r="B1120" s="45"/>
      <c r="C1120" s="47"/>
    </row>
    <row r="1121">
      <c r="A1121" s="45"/>
      <c r="B1121" s="45"/>
      <c r="C1121" s="47"/>
    </row>
    <row r="1122">
      <c r="A1122" s="45"/>
      <c r="B1122" s="45"/>
      <c r="C1122" s="47"/>
    </row>
    <row r="1123">
      <c r="A1123" s="45"/>
      <c r="B1123" s="45"/>
      <c r="C1123" s="47"/>
    </row>
    <row r="1124">
      <c r="A1124" s="45"/>
      <c r="B1124" s="45"/>
      <c r="C1124" s="47"/>
    </row>
    <row r="1125">
      <c r="A1125" s="45"/>
      <c r="B1125" s="45"/>
      <c r="C1125" s="47"/>
    </row>
    <row r="1126">
      <c r="A1126" s="45"/>
      <c r="B1126" s="45"/>
      <c r="C1126" s="47"/>
    </row>
    <row r="1127">
      <c r="A1127" s="45"/>
      <c r="B1127" s="45"/>
      <c r="C1127" s="47"/>
    </row>
    <row r="1128">
      <c r="A1128" s="45"/>
      <c r="B1128" s="45"/>
      <c r="C1128" s="47"/>
    </row>
    <row r="1129">
      <c r="A1129" s="45"/>
      <c r="B1129" s="45"/>
      <c r="C1129" s="47"/>
    </row>
    <row r="1130">
      <c r="A1130" s="45"/>
      <c r="B1130" s="45"/>
      <c r="C1130" s="47"/>
    </row>
    <row r="1131">
      <c r="A1131" s="45"/>
      <c r="B1131" s="45"/>
      <c r="C1131" s="47"/>
    </row>
    <row r="1132">
      <c r="A1132" s="45"/>
      <c r="B1132" s="45"/>
      <c r="C1132" s="47"/>
    </row>
    <row r="1133">
      <c r="A1133" s="45"/>
      <c r="B1133" s="45"/>
      <c r="C1133" s="47"/>
    </row>
    <row r="1134">
      <c r="A1134" s="45"/>
      <c r="B1134" s="45"/>
      <c r="C1134" s="47"/>
    </row>
    <row r="1135">
      <c r="A1135" s="45"/>
      <c r="B1135" s="45"/>
      <c r="C1135" s="47"/>
    </row>
    <row r="1136">
      <c r="A1136" s="45"/>
      <c r="B1136" s="45"/>
      <c r="C1136" s="47"/>
    </row>
    <row r="1137">
      <c r="A1137" s="45"/>
      <c r="B1137" s="45"/>
      <c r="C1137" s="47"/>
    </row>
    <row r="1138">
      <c r="A1138" s="45"/>
      <c r="B1138" s="45"/>
      <c r="C1138" s="47"/>
    </row>
    <row r="1139">
      <c r="A1139" s="45"/>
      <c r="B1139" s="45"/>
      <c r="C1139" s="47"/>
    </row>
    <row r="1140">
      <c r="A1140" s="45"/>
      <c r="B1140" s="45"/>
      <c r="C1140" s="47"/>
    </row>
    <row r="1141">
      <c r="A1141" s="45"/>
      <c r="B1141" s="45"/>
      <c r="C1141" s="47"/>
    </row>
    <row r="1142">
      <c r="A1142" s="45"/>
      <c r="B1142" s="45"/>
      <c r="C1142" s="47"/>
    </row>
    <row r="1143">
      <c r="A1143" s="45"/>
      <c r="B1143" s="45"/>
      <c r="C1143" s="47"/>
    </row>
    <row r="1144">
      <c r="A1144" s="45"/>
      <c r="B1144" s="45"/>
      <c r="C1144" s="47"/>
    </row>
    <row r="1145">
      <c r="A1145" s="45"/>
      <c r="B1145" s="45"/>
      <c r="C1145" s="47"/>
    </row>
    <row r="1146">
      <c r="A1146" s="45"/>
      <c r="B1146" s="45"/>
      <c r="C1146" s="47"/>
    </row>
    <row r="1147">
      <c r="A1147" s="45"/>
      <c r="B1147" s="45"/>
      <c r="C1147" s="47"/>
    </row>
    <row r="1148">
      <c r="A1148" s="45"/>
      <c r="B1148" s="45"/>
      <c r="C1148" s="47"/>
    </row>
    <row r="1149">
      <c r="A1149" s="45"/>
      <c r="B1149" s="45"/>
      <c r="C1149" s="47"/>
    </row>
    <row r="1150">
      <c r="A1150" s="45"/>
      <c r="B1150" s="45"/>
      <c r="C1150" s="47"/>
    </row>
    <row r="1151">
      <c r="A1151" s="45"/>
      <c r="B1151" s="45"/>
      <c r="C1151" s="47"/>
    </row>
    <row r="1152">
      <c r="A1152" s="45"/>
      <c r="B1152" s="45"/>
      <c r="C1152" s="47"/>
    </row>
    <row r="1153">
      <c r="A1153" s="45"/>
      <c r="B1153" s="45"/>
      <c r="C1153" s="47"/>
    </row>
    <row r="1154">
      <c r="A1154" s="45"/>
      <c r="B1154" s="45"/>
      <c r="C1154" s="47"/>
    </row>
    <row r="1155">
      <c r="A1155" s="45"/>
      <c r="B1155" s="45"/>
      <c r="C1155" s="47"/>
    </row>
    <row r="1156">
      <c r="A1156" s="45"/>
      <c r="B1156" s="45"/>
      <c r="C1156" s="47"/>
    </row>
    <row r="1157">
      <c r="A1157" s="45"/>
      <c r="B1157" s="45"/>
      <c r="C1157" s="47"/>
    </row>
    <row r="1158">
      <c r="A1158" s="45"/>
      <c r="B1158" s="45"/>
      <c r="C1158" s="47"/>
    </row>
    <row r="1159">
      <c r="A1159" s="45"/>
      <c r="B1159" s="45"/>
      <c r="C1159" s="47"/>
    </row>
    <row r="1160">
      <c r="A1160" s="45"/>
      <c r="B1160" s="45"/>
      <c r="C1160" s="47"/>
    </row>
    <row r="1161">
      <c r="A1161" s="45"/>
      <c r="B1161" s="45"/>
      <c r="C1161" s="47"/>
    </row>
    <row r="1162">
      <c r="A1162" s="45"/>
      <c r="B1162" s="45"/>
      <c r="C1162" s="47"/>
    </row>
    <row r="1163">
      <c r="A1163" s="45"/>
      <c r="B1163" s="45"/>
      <c r="C1163" s="47"/>
    </row>
    <row r="1164">
      <c r="A1164" s="45"/>
      <c r="B1164" s="45"/>
      <c r="C1164" s="47"/>
    </row>
    <row r="1165">
      <c r="A1165" s="45"/>
      <c r="B1165" s="45"/>
      <c r="C1165" s="47"/>
    </row>
    <row r="1166">
      <c r="A1166" s="45"/>
      <c r="B1166" s="45"/>
      <c r="C1166" s="47"/>
    </row>
    <row r="1167">
      <c r="A1167" s="45"/>
      <c r="B1167" s="45"/>
      <c r="C1167" s="47"/>
    </row>
    <row r="1168">
      <c r="A1168" s="45"/>
      <c r="B1168" s="45"/>
      <c r="C1168" s="47"/>
    </row>
    <row r="1169">
      <c r="A1169" s="45"/>
      <c r="B1169" s="45"/>
      <c r="C1169" s="47"/>
    </row>
    <row r="1170">
      <c r="A1170" s="45"/>
      <c r="B1170" s="45"/>
      <c r="C1170" s="47"/>
    </row>
    <row r="1171">
      <c r="A1171" s="45"/>
      <c r="B1171" s="45"/>
      <c r="C1171" s="47"/>
    </row>
    <row r="1172">
      <c r="A1172" s="45"/>
      <c r="B1172" s="45"/>
      <c r="C1172" s="47"/>
    </row>
    <row r="1173">
      <c r="A1173" s="45"/>
      <c r="B1173" s="45"/>
      <c r="C1173" s="47"/>
    </row>
    <row r="1174">
      <c r="A1174" s="45"/>
      <c r="B1174" s="45"/>
      <c r="C1174" s="47"/>
    </row>
    <row r="1175">
      <c r="A1175" s="45"/>
      <c r="B1175" s="45"/>
      <c r="C1175" s="47"/>
    </row>
    <row r="1176">
      <c r="A1176" s="45"/>
      <c r="B1176" s="45"/>
      <c r="C1176" s="47"/>
    </row>
    <row r="1177">
      <c r="A1177" s="45"/>
      <c r="B1177" s="45"/>
      <c r="C1177" s="47"/>
    </row>
    <row r="1178">
      <c r="A1178" s="45"/>
      <c r="B1178" s="45"/>
      <c r="C1178" s="47"/>
    </row>
    <row r="1179">
      <c r="A1179" s="45"/>
      <c r="B1179" s="45"/>
      <c r="C1179" s="47"/>
    </row>
    <row r="1180">
      <c r="A1180" s="45"/>
      <c r="B1180" s="45"/>
      <c r="C1180" s="47"/>
    </row>
    <row r="1181">
      <c r="A1181" s="45"/>
      <c r="B1181" s="45"/>
      <c r="C1181" s="47"/>
    </row>
    <row r="1182">
      <c r="A1182" s="45"/>
      <c r="B1182" s="45"/>
      <c r="C1182" s="47"/>
    </row>
    <row r="1183">
      <c r="A1183" s="45"/>
      <c r="B1183" s="45"/>
      <c r="C1183" s="47"/>
    </row>
    <row r="1184">
      <c r="A1184" s="45"/>
      <c r="B1184" s="45"/>
      <c r="C1184" s="47"/>
    </row>
    <row r="1185">
      <c r="A1185" s="45"/>
      <c r="B1185" s="45"/>
      <c r="C1185" s="47"/>
    </row>
    <row r="1186">
      <c r="A1186" s="45"/>
      <c r="B1186" s="45"/>
      <c r="C1186" s="47"/>
    </row>
    <row r="1187">
      <c r="A1187" s="45"/>
      <c r="B1187" s="45"/>
      <c r="C1187" s="47"/>
    </row>
    <row r="1188">
      <c r="A1188" s="45"/>
      <c r="B1188" s="45"/>
      <c r="C1188" s="47"/>
    </row>
    <row r="1189">
      <c r="A1189" s="45"/>
      <c r="B1189" s="45"/>
      <c r="C1189" s="47"/>
    </row>
    <row r="1190">
      <c r="A1190" s="45"/>
      <c r="B1190" s="45"/>
      <c r="C1190" s="47"/>
    </row>
    <row r="1191">
      <c r="A1191" s="45"/>
      <c r="B1191" s="45"/>
      <c r="C1191" s="47"/>
    </row>
    <row r="1192">
      <c r="A1192" s="45"/>
      <c r="B1192" s="45"/>
      <c r="C1192" s="47"/>
    </row>
    <row r="1193">
      <c r="A1193" s="45"/>
      <c r="B1193" s="45"/>
      <c r="C1193" s="47"/>
    </row>
    <row r="1194">
      <c r="A1194" s="45"/>
      <c r="B1194" s="45"/>
      <c r="C1194" s="47"/>
    </row>
    <row r="1195">
      <c r="A1195" s="45"/>
      <c r="B1195" s="45"/>
      <c r="C1195" s="47"/>
    </row>
    <row r="1196">
      <c r="A1196" s="45"/>
      <c r="B1196" s="45"/>
      <c r="C1196" s="47"/>
    </row>
    <row r="1197">
      <c r="A1197" s="45"/>
      <c r="B1197" s="45"/>
      <c r="C1197" s="47"/>
    </row>
    <row r="1198">
      <c r="A1198" s="45"/>
      <c r="B1198" s="45"/>
      <c r="C1198" s="47"/>
    </row>
    <row r="1199">
      <c r="A1199" s="45"/>
      <c r="B1199" s="45"/>
      <c r="C1199" s="47"/>
    </row>
    <row r="1200">
      <c r="A1200" s="45"/>
      <c r="B1200" s="45"/>
      <c r="C1200" s="47"/>
    </row>
    <row r="1201">
      <c r="A1201" s="45"/>
      <c r="B1201" s="45"/>
      <c r="C1201" s="47"/>
    </row>
    <row r="1202">
      <c r="A1202" s="45"/>
      <c r="B1202" s="45"/>
      <c r="C1202" s="47"/>
    </row>
    <row r="1203">
      <c r="A1203" s="45"/>
      <c r="B1203" s="45"/>
      <c r="C1203" s="47"/>
    </row>
    <row r="1204">
      <c r="A1204" s="45"/>
      <c r="B1204" s="45"/>
      <c r="C1204" s="47"/>
    </row>
    <row r="1205">
      <c r="A1205" s="45"/>
      <c r="B1205" s="45"/>
      <c r="C1205" s="47"/>
    </row>
    <row r="1206">
      <c r="A1206" s="45"/>
      <c r="B1206" s="45"/>
      <c r="C1206" s="47"/>
    </row>
    <row r="1207">
      <c r="A1207" s="45"/>
      <c r="B1207" s="45"/>
      <c r="C1207" s="47"/>
    </row>
    <row r="1208">
      <c r="A1208" s="45"/>
      <c r="B1208" s="45"/>
      <c r="C1208" s="47"/>
    </row>
    <row r="1209">
      <c r="A1209" s="45"/>
      <c r="B1209" s="45"/>
      <c r="C1209" s="47"/>
    </row>
    <row r="1210">
      <c r="A1210" s="45"/>
      <c r="B1210" s="45"/>
      <c r="C1210" s="47"/>
    </row>
    <row r="1211">
      <c r="A1211" s="45"/>
      <c r="B1211" s="45"/>
      <c r="C1211" s="47"/>
    </row>
    <row r="1212">
      <c r="A1212" s="45"/>
      <c r="B1212" s="45"/>
      <c r="C1212" s="47"/>
    </row>
  </sheetData>
  <mergeCells count="133">
    <mergeCell ref="A1:B1"/>
    <mergeCell ref="A2:B2"/>
    <mergeCell ref="A3:B3"/>
    <mergeCell ref="A4:B4"/>
    <mergeCell ref="A5:B5"/>
    <mergeCell ref="A6:B6"/>
    <mergeCell ref="A7:B7"/>
    <mergeCell ref="A8:B8"/>
    <mergeCell ref="A9:B9"/>
    <mergeCell ref="A10:B10"/>
    <mergeCell ref="A11:B11"/>
    <mergeCell ref="A12:B12"/>
    <mergeCell ref="A13:B13"/>
    <mergeCell ref="A14:B14"/>
    <mergeCell ref="A15:A16"/>
    <mergeCell ref="A17:A18"/>
    <mergeCell ref="A19:A20"/>
    <mergeCell ref="A21:A22"/>
    <mergeCell ref="A23:A24"/>
    <mergeCell ref="A25:A26"/>
    <mergeCell ref="A27:A28"/>
    <mergeCell ref="A29:A30"/>
    <mergeCell ref="A31:A32"/>
    <mergeCell ref="A33:A34"/>
    <mergeCell ref="A35:A37"/>
    <mergeCell ref="A38:A40"/>
    <mergeCell ref="A41:A42"/>
    <mergeCell ref="A43:A44"/>
    <mergeCell ref="A45:A46"/>
    <mergeCell ref="A47:A48"/>
    <mergeCell ref="A49:A51"/>
    <mergeCell ref="A52:A54"/>
    <mergeCell ref="A55:A57"/>
    <mergeCell ref="A58:A60"/>
    <mergeCell ref="A61:A63"/>
    <mergeCell ref="A64:A66"/>
    <mergeCell ref="A67:A69"/>
    <mergeCell ref="A70:A72"/>
    <mergeCell ref="A77:A78"/>
    <mergeCell ref="A79:A80"/>
    <mergeCell ref="A85:A86"/>
    <mergeCell ref="A87:B87"/>
    <mergeCell ref="A88:A90"/>
    <mergeCell ref="A91:A93"/>
    <mergeCell ref="A94:A95"/>
    <mergeCell ref="A96:A97"/>
    <mergeCell ref="A98:A99"/>
    <mergeCell ref="A100:A101"/>
    <mergeCell ref="A102:A103"/>
    <mergeCell ref="A210:A211"/>
    <mergeCell ref="A212:A213"/>
    <mergeCell ref="A214:A215"/>
    <mergeCell ref="A217:A218"/>
    <mergeCell ref="A219:A220"/>
    <mergeCell ref="A221:A222"/>
    <mergeCell ref="A223:A224"/>
    <mergeCell ref="A225:A226"/>
    <mergeCell ref="A228:A229"/>
    <mergeCell ref="A231:A232"/>
    <mergeCell ref="A233:A234"/>
    <mergeCell ref="A235:A236"/>
    <mergeCell ref="A237:A238"/>
    <mergeCell ref="A239:A240"/>
    <mergeCell ref="A241:A242"/>
    <mergeCell ref="A243:A244"/>
    <mergeCell ref="A245:A246"/>
    <mergeCell ref="A247:A248"/>
    <mergeCell ref="A249:A250"/>
    <mergeCell ref="A251:A252"/>
    <mergeCell ref="A253:A256"/>
    <mergeCell ref="C265:C266"/>
    <mergeCell ref="C267:C268"/>
    <mergeCell ref="A269:A270"/>
    <mergeCell ref="C269:C270"/>
    <mergeCell ref="A274:A275"/>
    <mergeCell ref="A276:A277"/>
    <mergeCell ref="A278:A280"/>
    <mergeCell ref="A257:A260"/>
    <mergeCell ref="A261:A262"/>
    <mergeCell ref="C261:C262"/>
    <mergeCell ref="A263:A264"/>
    <mergeCell ref="C263:C264"/>
    <mergeCell ref="A265:A266"/>
    <mergeCell ref="A267:A268"/>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 ref="A195:A196"/>
    <mergeCell ref="A197:A198"/>
    <mergeCell ref="A200:A201"/>
    <mergeCell ref="A203:A204"/>
    <mergeCell ref="A206:A207"/>
  </mergeCells>
  <dataValidations>
    <dataValidation type="list" allowBlank="1" showErrorMessage="1" sqref="C8:C9">
      <formula1>"Izquierda,Derecha"</formula1>
    </dataValidation>
    <dataValidation type="list" allowBlank="1" showErrorMessage="1" sqref="C49:C86 C108:C109 C112:C113 C116:C117 C120:C121 C123 C125 C128:C129 C132:C133 C135 C138:C139 C142:C143 C146:C147 C150:C151 C154:C155 C158:C159 C162:C163 C169:C170 C173:C174 C177:C178 C181:C182 C185:C186">
      <formula1>"0,1,2,3,4,5,6,7,8,9,10"</formula1>
    </dataValidation>
    <dataValidation type="list" allowBlank="1" showErrorMessage="1" sqref="C4">
      <formula1>"Si,No"</formula1>
    </dataValidation>
    <dataValidation type="list" allowBlank="1" showErrorMessage="1" sqref="C10">
      <formula1>"Muscular,Articular,Tendinopatía"</formula1>
    </dataValidation>
    <dataValidation type="list" allowBlank="1" showErrorMessage="1" sqref="C14">
      <formula1>"Sí,No"</formula1>
    </dataValidation>
    <dataValidation type="list" allowBlank="1" showErrorMessage="1" sqref="C35:C40 C43:C46 C98:C101 C253:C260 C271">
      <formula1>"OK,X"</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0"/>
    <col customWidth="1" min="2" max="2" width="28.5"/>
    <col customWidth="1" min="3" max="3" width="24.88"/>
    <col customWidth="1" min="4" max="4" width="17.88"/>
    <col customWidth="1" min="5" max="7" width="22.0"/>
    <col customWidth="1" min="8" max="8" width="33.38"/>
    <col customWidth="1" min="9" max="9" width="16.25"/>
    <col customWidth="1" min="10" max="10" width="1.13"/>
  </cols>
  <sheetData>
    <row r="1" ht="6.75" customHeight="1">
      <c r="A1" s="48"/>
      <c r="B1" s="48"/>
      <c r="C1" s="48"/>
      <c r="D1" s="48"/>
      <c r="E1" s="48"/>
      <c r="F1" s="48"/>
      <c r="G1" s="48"/>
      <c r="H1" s="48"/>
      <c r="I1" s="48"/>
      <c r="J1" s="49"/>
    </row>
    <row r="2" ht="9.75" customHeight="1">
      <c r="A2" s="48"/>
      <c r="B2" s="50"/>
      <c r="C2" s="51"/>
      <c r="D2" s="51"/>
      <c r="E2" s="51"/>
      <c r="F2" s="51"/>
      <c r="G2" s="51"/>
      <c r="H2" s="52"/>
      <c r="I2" s="53"/>
      <c r="J2" s="49"/>
    </row>
    <row r="3">
      <c r="A3" s="48"/>
      <c r="B3" s="54"/>
      <c r="D3" s="55"/>
      <c r="E3" s="55"/>
      <c r="F3" s="55"/>
      <c r="G3" s="55"/>
      <c r="H3" s="56"/>
      <c r="I3" s="57"/>
      <c r="J3" s="49"/>
    </row>
    <row r="4">
      <c r="A4" s="48"/>
      <c r="B4" s="58"/>
      <c r="D4" s="55"/>
      <c r="E4" s="55"/>
      <c r="F4" s="55"/>
      <c r="G4" s="55"/>
      <c r="H4" s="56"/>
      <c r="I4" s="57"/>
      <c r="J4" s="49"/>
    </row>
    <row r="5" ht="117.0" customHeight="1">
      <c r="A5" s="48"/>
      <c r="B5" s="58"/>
      <c r="D5" s="55"/>
      <c r="E5" s="55"/>
      <c r="F5" s="55"/>
      <c r="G5" s="55"/>
      <c r="H5" s="56"/>
      <c r="I5" s="57"/>
      <c r="J5" s="49"/>
      <c r="L5" s="55"/>
    </row>
    <row r="6">
      <c r="A6" s="48"/>
      <c r="B6" s="58"/>
      <c r="D6" s="55"/>
      <c r="E6" s="55"/>
      <c r="F6" s="55"/>
      <c r="G6" s="55"/>
      <c r="H6" s="56"/>
      <c r="I6" s="57"/>
      <c r="J6" s="49"/>
    </row>
    <row r="7">
      <c r="A7" s="48"/>
      <c r="B7" s="59"/>
      <c r="C7" s="55"/>
      <c r="D7" s="55"/>
      <c r="E7" s="55"/>
      <c r="F7" s="55"/>
      <c r="G7" s="55"/>
      <c r="I7" s="60"/>
      <c r="J7" s="49"/>
    </row>
    <row r="8">
      <c r="A8" s="48"/>
      <c r="B8" s="61" t="s">
        <v>188</v>
      </c>
      <c r="C8" s="62" t="str">
        <f>'A completar'!C2</f>
        <v/>
      </c>
      <c r="D8" s="63" t="s">
        <v>189</v>
      </c>
      <c r="E8" s="64" t="str">
        <f>'A completar'!C3</f>
        <v/>
      </c>
      <c r="F8" s="65"/>
      <c r="G8" s="66" t="s">
        <v>190</v>
      </c>
      <c r="H8" s="65"/>
      <c r="I8" s="67" t="str">
        <f>'A completar'!C4</f>
        <v/>
      </c>
      <c r="J8" s="49"/>
    </row>
    <row r="9">
      <c r="A9" s="48"/>
      <c r="B9" s="68" t="s">
        <v>191</v>
      </c>
      <c r="C9" s="69" t="str">
        <f>'A completar'!C5</f>
        <v/>
      </c>
      <c r="D9" s="70" t="s">
        <v>192</v>
      </c>
      <c r="E9" s="71" t="str">
        <f>'A completar'!C6</f>
        <v/>
      </c>
      <c r="F9" s="2"/>
      <c r="G9" s="72" t="s">
        <v>193</v>
      </c>
      <c r="H9" s="2"/>
      <c r="I9" s="73" t="str">
        <f>'A completar'!C7</f>
        <v/>
      </c>
      <c r="J9" s="49"/>
    </row>
    <row r="10">
      <c r="A10" s="48"/>
      <c r="B10" s="74" t="s">
        <v>194</v>
      </c>
      <c r="C10" s="75" t="str">
        <f>'A completar'!C8</f>
        <v/>
      </c>
      <c r="D10" s="76" t="s">
        <v>195</v>
      </c>
      <c r="E10" s="77" t="str">
        <f>'A completar'!C9</f>
        <v/>
      </c>
      <c r="F10" s="78" t="s">
        <v>196</v>
      </c>
      <c r="G10" s="77" t="str">
        <f>'A completar'!C10</f>
        <v/>
      </c>
      <c r="H10" s="79"/>
      <c r="I10" s="80"/>
      <c r="J10" s="49"/>
    </row>
    <row r="11">
      <c r="A11" s="48"/>
      <c r="B11" s="81" t="str">
        <f>'A completar'!C11</f>
        <v/>
      </c>
      <c r="C11" s="79"/>
      <c r="D11" s="79"/>
      <c r="E11" s="79"/>
      <c r="F11" s="79"/>
      <c r="G11" s="79"/>
      <c r="H11" s="79"/>
      <c r="I11" s="80"/>
      <c r="J11" s="49"/>
    </row>
    <row r="12">
      <c r="A12" s="48"/>
      <c r="B12" s="68" t="s">
        <v>197</v>
      </c>
      <c r="C12" s="71" t="str">
        <f>'A completar'!C12</f>
        <v/>
      </c>
      <c r="D12" s="79"/>
      <c r="E12" s="79"/>
      <c r="F12" s="79"/>
      <c r="G12" s="79"/>
      <c r="H12" s="79"/>
      <c r="I12" s="80"/>
      <c r="J12" s="49"/>
    </row>
    <row r="13">
      <c r="A13" s="48"/>
      <c r="B13" s="82" t="s">
        <v>198</v>
      </c>
      <c r="C13" s="83" t="str">
        <f>'A completar'!C13</f>
        <v/>
      </c>
      <c r="D13" s="84"/>
      <c r="E13" s="85" t="s">
        <v>199</v>
      </c>
      <c r="F13" s="84"/>
      <c r="G13" s="86" t="s">
        <v>200</v>
      </c>
      <c r="H13" s="87"/>
      <c r="I13" s="88"/>
      <c r="J13" s="49"/>
    </row>
    <row r="14">
      <c r="A14" s="48"/>
      <c r="B14" s="89" t="str">
        <f>IF(G13="No", "Todas las pruebas fueron realizadas sin dolor y a continuación se destacan los aspectos más relevantes.", "El paciente presentó dolor a lo largo de las evaluaciones y a continuación se destacan los aspectos más relevantes.")
</f>
        <v>Todas las pruebas fueron realizadas sin dolor y a continuación se destacan los aspectos más relevantes.</v>
      </c>
      <c r="C14" s="90"/>
      <c r="D14" s="90"/>
      <c r="E14" s="90"/>
      <c r="F14" s="90"/>
      <c r="G14" s="90"/>
      <c r="H14" s="90"/>
      <c r="I14" s="91"/>
      <c r="J14" s="49"/>
    </row>
    <row r="15">
      <c r="A15" s="48"/>
      <c r="B15" s="92" t="s">
        <v>201</v>
      </c>
      <c r="C15" s="93"/>
      <c r="D15" s="93"/>
      <c r="E15" s="93"/>
      <c r="F15" s="93"/>
      <c r="G15" s="93"/>
      <c r="H15" s="93"/>
      <c r="I15" s="94"/>
      <c r="J15" s="49"/>
    </row>
    <row r="16">
      <c r="A16" s="48"/>
      <c r="B16" s="95" t="s">
        <v>202</v>
      </c>
      <c r="C16" s="5" t="s">
        <v>203</v>
      </c>
      <c r="D16" s="5" t="s">
        <v>204</v>
      </c>
      <c r="E16" s="5" t="s">
        <v>205</v>
      </c>
      <c r="F16" s="96" t="s">
        <v>206</v>
      </c>
      <c r="G16" s="97"/>
      <c r="H16" s="98"/>
      <c r="I16" s="99"/>
      <c r="J16" s="49"/>
    </row>
    <row r="17">
      <c r="A17" s="48"/>
      <c r="B17" s="100" t="s">
        <v>207</v>
      </c>
      <c r="C17" s="101" t="s">
        <v>208</v>
      </c>
      <c r="D17" s="5" t="str">
        <f>'A completar'!C15</f>
        <v/>
      </c>
      <c r="E17" s="5" t="str">
        <f>'A completar'!C16</f>
        <v/>
      </c>
      <c r="F17" s="96" t="s">
        <v>57</v>
      </c>
      <c r="G17" s="102"/>
      <c r="I17" s="103"/>
      <c r="J17" s="49"/>
    </row>
    <row r="18">
      <c r="A18" s="48"/>
      <c r="B18" s="35"/>
      <c r="C18" s="101" t="s">
        <v>209</v>
      </c>
      <c r="D18" s="5" t="str">
        <f>'A completar'!C17</f>
        <v/>
      </c>
      <c r="E18" s="5" t="str">
        <f>'A completar'!C18</f>
        <v/>
      </c>
      <c r="F18" s="96" t="s">
        <v>57</v>
      </c>
      <c r="G18" s="102"/>
      <c r="I18" s="103"/>
      <c r="J18" s="49"/>
    </row>
    <row r="19">
      <c r="A19" s="48"/>
      <c r="B19" s="31"/>
      <c r="C19" s="101" t="s">
        <v>210</v>
      </c>
      <c r="D19" s="69">
        <f t="shared" ref="D19:E19" si="1">D17+D18</f>
        <v>0</v>
      </c>
      <c r="E19" s="69">
        <f t="shared" si="1"/>
        <v>0</v>
      </c>
      <c r="F19" s="96" t="s">
        <v>211</v>
      </c>
      <c r="G19" s="104"/>
      <c r="H19" s="105"/>
      <c r="I19" s="106"/>
      <c r="J19" s="49"/>
    </row>
    <row r="20">
      <c r="A20" s="48"/>
      <c r="B20" s="107" t="s">
        <v>212</v>
      </c>
      <c r="C20" s="79"/>
      <c r="D20" s="79"/>
      <c r="E20" s="79"/>
      <c r="F20" s="79"/>
      <c r="G20" s="79"/>
      <c r="H20" s="79"/>
      <c r="I20" s="80"/>
      <c r="J20" s="49"/>
    </row>
    <row r="21">
      <c r="A21" s="48"/>
      <c r="B21" s="108" t="str">
        <f>IF(AND(D19&gt;=85,E19&gt;=85),
   "El rango de movimiento total de cadera en ambas piernas se encuentra normal.",
   IF(AND(D19&lt;85,E19&gt;=85),
      "El rango de movimiento total de cadera en la pierna derecha se encuentra disminuido.",
      IF(AND(D19&gt;=85,E19&lt;85),
         "El rango de movimiento total de cadera en la pierna izquierda se encuentra disminuido.",
         "El rango de movimiento total de cadera en ambas piernas se encuentra disminuido.")))</f>
        <v>El rango de movimiento total de cadera en ambas piernas se encuentra disminuido.</v>
      </c>
      <c r="C21" s="79"/>
      <c r="D21" s="79"/>
      <c r="E21" s="79"/>
      <c r="F21" s="79"/>
      <c r="G21" s="79"/>
      <c r="H21" s="79"/>
      <c r="I21" s="80"/>
      <c r="J21" s="49"/>
    </row>
    <row r="22">
      <c r="A22" s="48"/>
      <c r="B22" s="92" t="s">
        <v>213</v>
      </c>
      <c r="C22" s="93"/>
      <c r="D22" s="93"/>
      <c r="E22" s="93"/>
      <c r="F22" s="93"/>
      <c r="G22" s="93"/>
      <c r="H22" s="93"/>
      <c r="I22" s="94"/>
      <c r="J22" s="49"/>
    </row>
    <row r="23">
      <c r="A23" s="48"/>
      <c r="B23" s="95" t="s">
        <v>202</v>
      </c>
      <c r="C23" s="5" t="s">
        <v>203</v>
      </c>
      <c r="D23" s="8" t="s">
        <v>204</v>
      </c>
      <c r="E23" s="8" t="s">
        <v>205</v>
      </c>
      <c r="F23" s="109" t="s">
        <v>206</v>
      </c>
      <c r="G23" s="110"/>
      <c r="H23" s="98"/>
      <c r="I23" s="99"/>
      <c r="J23" s="49"/>
    </row>
    <row r="24">
      <c r="A24" s="48"/>
      <c r="B24" s="111" t="s">
        <v>214</v>
      </c>
      <c r="C24" s="109" t="s">
        <v>215</v>
      </c>
      <c r="D24" s="109" t="str">
        <f>'A completar'!C19</f>
        <v/>
      </c>
      <c r="E24" s="109" t="str">
        <f>'A completar'!C20</f>
        <v/>
      </c>
      <c r="F24" s="109" t="s">
        <v>216</v>
      </c>
      <c r="G24" s="105"/>
      <c r="H24" s="105"/>
      <c r="I24" s="106"/>
      <c r="J24" s="49"/>
    </row>
    <row r="25">
      <c r="A25" s="48"/>
      <c r="B25" s="112"/>
      <c r="C25" s="79"/>
      <c r="D25" s="79"/>
      <c r="E25" s="79"/>
      <c r="F25" s="79"/>
      <c r="G25" s="79"/>
      <c r="H25" s="79"/>
      <c r="I25" s="80"/>
      <c r="J25" s="49"/>
    </row>
    <row r="26">
      <c r="A26" s="48"/>
      <c r="B26" s="113" t="s">
        <v>202</v>
      </c>
      <c r="C26" s="5" t="s">
        <v>203</v>
      </c>
      <c r="D26" s="8" t="s">
        <v>204</v>
      </c>
      <c r="E26" s="8" t="s">
        <v>205</v>
      </c>
      <c r="F26" s="109" t="s">
        <v>217</v>
      </c>
      <c r="G26" s="109" t="s">
        <v>206</v>
      </c>
      <c r="H26" s="114"/>
      <c r="I26" s="99"/>
      <c r="J26" s="49"/>
    </row>
    <row r="27">
      <c r="A27" s="48"/>
      <c r="B27" s="115" t="s">
        <v>218</v>
      </c>
      <c r="C27" s="109" t="s">
        <v>21</v>
      </c>
      <c r="D27" s="109" t="str">
        <f>'A completar'!C21</f>
        <v/>
      </c>
      <c r="E27" s="109" t="str">
        <f>'A completar'!C22</f>
        <v/>
      </c>
      <c r="F27" s="116">
        <f t="shared" ref="F27:F28" si="2">E27-D27</f>
        <v>0</v>
      </c>
      <c r="G27" s="109" t="s">
        <v>219</v>
      </c>
      <c r="H27" s="102"/>
      <c r="I27" s="103"/>
      <c r="J27" s="49"/>
    </row>
    <row r="28">
      <c r="A28" s="48"/>
      <c r="B28" s="117"/>
      <c r="C28" s="109" t="s">
        <v>22</v>
      </c>
      <c r="D28" s="109" t="str">
        <f>'A completar'!C23</f>
        <v/>
      </c>
      <c r="E28" s="109" t="str">
        <f>'A completar'!C24</f>
        <v/>
      </c>
      <c r="F28" s="116">
        <f t="shared" si="2"/>
        <v>0</v>
      </c>
      <c r="G28" s="109" t="s">
        <v>219</v>
      </c>
      <c r="H28" s="104"/>
      <c r="I28" s="106"/>
      <c r="J28" s="49"/>
    </row>
    <row r="29">
      <c r="A29" s="48"/>
      <c r="B29" s="118" t="s">
        <v>212</v>
      </c>
      <c r="C29" s="79"/>
      <c r="D29" s="79"/>
      <c r="E29" s="79"/>
      <c r="F29" s="79"/>
      <c r="G29" s="79"/>
      <c r="H29" s="79"/>
      <c r="I29" s="80"/>
      <c r="J29" s="49"/>
    </row>
    <row r="30">
      <c r="A30" s="48"/>
      <c r="B30" s="112" t="str">
        <f>IF(AND(D24=0,E24=0),
"No presenta déficit de extensión.",
"Se presenta déficit de extensión de la rodilla.")</f>
        <v>No presenta déficit de extensión.</v>
      </c>
      <c r="C30" s="79"/>
      <c r="D30" s="79"/>
      <c r="E30" s="79"/>
      <c r="F30" s="79"/>
      <c r="G30" s="79"/>
      <c r="H30" s="79"/>
      <c r="I30" s="80"/>
      <c r="J30" s="49"/>
    </row>
    <row r="31">
      <c r="A31" s="48"/>
      <c r="B31" s="112" t="str">
        <f>IF(OR(F27&lt;-10,F27&gt;10),
"Se presenta un déficit de flexión activa de la rodilla.",
"La flexión activa de rodilla se encuentra normal.")</f>
        <v>La flexión activa de rodilla se encuentra normal.</v>
      </c>
      <c r="C31" s="79"/>
      <c r="D31" s="79"/>
      <c r="E31" s="79"/>
      <c r="F31" s="79"/>
      <c r="G31" s="79"/>
      <c r="H31" s="79"/>
      <c r="I31" s="80"/>
      <c r="J31" s="49"/>
    </row>
    <row r="32">
      <c r="A32" s="48"/>
      <c r="B32" s="112" t="str">
        <f>IF(OR(F28&lt;-10,F28&gt;10),
"Se presenta un déficit de flexión pasiva de la rodilla.",
"La flexión pasiva de rodilla se encuentra normal.")</f>
        <v>La flexión pasiva de rodilla se encuentra normal.</v>
      </c>
      <c r="C32" s="79"/>
      <c r="D32" s="79"/>
      <c r="E32" s="79"/>
      <c r="F32" s="79"/>
      <c r="G32" s="79"/>
      <c r="H32" s="79"/>
      <c r="I32" s="80"/>
      <c r="J32" s="49"/>
    </row>
    <row r="33">
      <c r="A33" s="48"/>
      <c r="B33" s="92" t="s">
        <v>220</v>
      </c>
      <c r="C33" s="93"/>
      <c r="D33" s="93"/>
      <c r="E33" s="93"/>
      <c r="F33" s="93"/>
      <c r="G33" s="93"/>
      <c r="H33" s="93"/>
      <c r="I33" s="94"/>
      <c r="J33" s="49"/>
    </row>
    <row r="34">
      <c r="A34" s="48"/>
      <c r="B34" s="113" t="s">
        <v>202</v>
      </c>
      <c r="C34" s="8" t="s">
        <v>203</v>
      </c>
      <c r="D34" s="8" t="s">
        <v>204</v>
      </c>
      <c r="E34" s="8" t="s">
        <v>205</v>
      </c>
      <c r="F34" s="109" t="s">
        <v>206</v>
      </c>
      <c r="G34" s="110"/>
      <c r="H34" s="98"/>
      <c r="I34" s="99"/>
      <c r="J34" s="49"/>
    </row>
    <row r="35">
      <c r="A35" s="48"/>
      <c r="B35" s="111" t="s">
        <v>221</v>
      </c>
      <c r="C35" s="119" t="s">
        <v>23</v>
      </c>
      <c r="D35" s="109" t="str">
        <f>'A completar'!C25</f>
        <v/>
      </c>
      <c r="E35" s="109" t="str">
        <f>'A completar'!C26</f>
        <v/>
      </c>
      <c r="F35" s="109" t="s">
        <v>222</v>
      </c>
      <c r="G35" s="105"/>
      <c r="H35" s="105"/>
      <c r="I35" s="106"/>
      <c r="J35" s="49"/>
    </row>
    <row r="36">
      <c r="A36" s="48"/>
      <c r="B36" s="118" t="s">
        <v>212</v>
      </c>
      <c r="C36" s="79"/>
      <c r="D36" s="79"/>
      <c r="E36" s="79"/>
      <c r="F36" s="79"/>
      <c r="G36" s="79"/>
      <c r="H36" s="79"/>
      <c r="I36" s="80"/>
      <c r="J36" s="49"/>
    </row>
    <row r="37">
      <c r="A37" s="48"/>
      <c r="B37" s="120" t="str">
        <f>IF(AND(D35&lt;39, E35&lt;39), "Presenta un déficit de flexión dorsal del tobillo de ambas piernas.", 
IF(D35&lt;39, "Presenta un déficit de flexión dorsal del tobillo de la pierna derecha.", 
IF(E35&lt;39, "Presenta un déficit de flexión dorsal del tobillo de la pierna izquierda.", 
"No presenta déficit en la flexión dorsal del tobillo.")))</f>
        <v>Presenta un déficit de flexión dorsal del tobillo de ambas piernas.</v>
      </c>
      <c r="C37" s="87"/>
      <c r="D37" s="87"/>
      <c r="E37" s="87"/>
      <c r="F37" s="87"/>
      <c r="G37" s="87"/>
      <c r="H37" s="87"/>
      <c r="I37" s="88"/>
      <c r="J37" s="49"/>
    </row>
    <row r="38">
      <c r="A38" s="48"/>
      <c r="B38" s="92" t="s">
        <v>223</v>
      </c>
      <c r="C38" s="93"/>
      <c r="D38" s="93"/>
      <c r="E38" s="93"/>
      <c r="F38" s="93"/>
      <c r="G38" s="93"/>
      <c r="H38" s="93"/>
      <c r="I38" s="94"/>
      <c r="J38" s="49"/>
    </row>
    <row r="39">
      <c r="A39" s="48"/>
      <c r="B39" s="95" t="s">
        <v>202</v>
      </c>
      <c r="C39" s="5" t="s">
        <v>203</v>
      </c>
      <c r="D39" s="5" t="s">
        <v>204</v>
      </c>
      <c r="E39" s="5" t="s">
        <v>205</v>
      </c>
      <c r="F39" s="8" t="s">
        <v>217</v>
      </c>
      <c r="G39" s="109" t="s">
        <v>206</v>
      </c>
      <c r="H39" s="121"/>
      <c r="I39" s="122"/>
      <c r="J39" s="49"/>
    </row>
    <row r="40">
      <c r="A40" s="48"/>
      <c r="B40" s="123" t="s">
        <v>224</v>
      </c>
      <c r="C40" s="101" t="s">
        <v>208</v>
      </c>
      <c r="D40" s="5" t="str">
        <f>'A completar'!C27</f>
        <v/>
      </c>
      <c r="E40" s="5" t="str">
        <f>'A completar'!C28</f>
        <v/>
      </c>
      <c r="F40" s="8">
        <f t="shared" ref="F40:F42" si="3">E40-D40</f>
        <v>0</v>
      </c>
      <c r="G40" s="8" t="s">
        <v>225</v>
      </c>
      <c r="H40" s="124"/>
      <c r="I40" s="125"/>
      <c r="J40" s="49"/>
    </row>
    <row r="41">
      <c r="A41" s="48"/>
      <c r="B41" s="35"/>
      <c r="C41" s="101" t="s">
        <v>209</v>
      </c>
      <c r="D41" s="5" t="str">
        <f>'A completar'!C29</f>
        <v/>
      </c>
      <c r="E41" s="5" t="str">
        <f>'A completar'!C30</f>
        <v/>
      </c>
      <c r="F41" s="8">
        <f t="shared" si="3"/>
        <v>0</v>
      </c>
      <c r="G41" s="8" t="s">
        <v>57</v>
      </c>
      <c r="H41" s="124"/>
      <c r="I41" s="125"/>
      <c r="J41" s="49"/>
    </row>
    <row r="42">
      <c r="A42" s="48"/>
      <c r="B42" s="31"/>
      <c r="C42" s="101" t="s">
        <v>210</v>
      </c>
      <c r="D42" s="8">
        <f t="shared" ref="D42:E42" si="4">D40+D41</f>
        <v>0</v>
      </c>
      <c r="E42" s="8">
        <f t="shared" si="4"/>
        <v>0</v>
      </c>
      <c r="F42" s="8">
        <f t="shared" si="3"/>
        <v>0</v>
      </c>
      <c r="G42" s="8" t="s">
        <v>226</v>
      </c>
      <c r="H42" s="126"/>
      <c r="I42" s="127"/>
      <c r="J42" s="49"/>
    </row>
    <row r="43">
      <c r="A43" s="48"/>
      <c r="B43" s="107" t="s">
        <v>212</v>
      </c>
      <c r="C43" s="79"/>
      <c r="D43" s="79"/>
      <c r="E43" s="79"/>
      <c r="F43" s="79"/>
      <c r="G43" s="79"/>
      <c r="H43" s="79"/>
      <c r="I43" s="80"/>
      <c r="J43" s="49"/>
    </row>
    <row r="44">
      <c r="A44" s="48"/>
      <c r="B44" s="108" t="str">
        <f>IF(OR(F40&lt;-18,F40&gt;18),
"Se presenta un déficit de rotación interna del hombro.",
"No se presenta un déficit de rotación interna del hombro.")</f>
        <v>No se presenta un déficit de rotación interna del hombro.</v>
      </c>
      <c r="C44" s="79"/>
      <c r="D44" s="79"/>
      <c r="E44" s="79"/>
      <c r="F44" s="79"/>
      <c r="G44" s="79"/>
      <c r="H44" s="79"/>
      <c r="I44" s="80"/>
      <c r="J44" s="49"/>
    </row>
    <row r="45">
      <c r="A45" s="48"/>
      <c r="B45" s="108" t="str">
        <f>IF(AND(F42&gt;=-5,F42&lt;=5),
"Se presenta un normal arco total del movimiento del hombro",
"Se presenta un déficit del arco total del movimiento del hombro")
</f>
        <v>Se presenta un normal arco total del movimiento del hombro</v>
      </c>
      <c r="C45" s="79"/>
      <c r="D45" s="79"/>
      <c r="E45" s="79"/>
      <c r="F45" s="79"/>
      <c r="G45" s="79"/>
      <c r="H45" s="79"/>
      <c r="I45" s="80"/>
      <c r="J45" s="49"/>
    </row>
    <row r="46">
      <c r="A46" s="48"/>
      <c r="B46" s="92" t="s">
        <v>227</v>
      </c>
      <c r="C46" s="93"/>
      <c r="D46" s="93"/>
      <c r="E46" s="93"/>
      <c r="F46" s="93"/>
      <c r="G46" s="93"/>
      <c r="H46" s="93"/>
      <c r="I46" s="94"/>
      <c r="J46" s="49"/>
    </row>
    <row r="47">
      <c r="A47" s="48"/>
      <c r="B47" s="95" t="s">
        <v>228</v>
      </c>
      <c r="C47" s="5" t="s">
        <v>204</v>
      </c>
      <c r="D47" s="5" t="s">
        <v>205</v>
      </c>
      <c r="E47" s="5" t="s">
        <v>217</v>
      </c>
      <c r="F47" s="128"/>
      <c r="G47" s="98"/>
      <c r="H47" s="129"/>
      <c r="I47" s="122"/>
      <c r="J47" s="49"/>
    </row>
    <row r="48">
      <c r="A48" s="48"/>
      <c r="B48" s="101" t="s">
        <v>229</v>
      </c>
      <c r="C48" s="101" t="str">
        <f>'A completar'!C31</f>
        <v/>
      </c>
      <c r="D48" s="5" t="str">
        <f>'A completar'!C32</f>
        <v/>
      </c>
      <c r="E48" s="5">
        <f t="shared" ref="E48:E49" si="5">D48-C48</f>
        <v>0</v>
      </c>
      <c r="F48" s="102"/>
      <c r="H48" s="130"/>
      <c r="I48" s="125"/>
      <c r="J48" s="49"/>
    </row>
    <row r="49">
      <c r="A49" s="48"/>
      <c r="B49" s="101" t="s">
        <v>230</v>
      </c>
      <c r="C49" s="101" t="str">
        <f>'A completar'!C33</f>
        <v/>
      </c>
      <c r="D49" s="5" t="str">
        <f>'A completar'!C34</f>
        <v/>
      </c>
      <c r="E49" s="5">
        <f t="shared" si="5"/>
        <v>0</v>
      </c>
      <c r="F49" s="104"/>
      <c r="G49" s="105"/>
      <c r="H49" s="131"/>
      <c r="I49" s="125"/>
      <c r="J49" s="49"/>
    </row>
    <row r="50">
      <c r="A50" s="48"/>
      <c r="B50" s="107" t="s">
        <v>212</v>
      </c>
      <c r="C50" s="79"/>
      <c r="D50" s="79"/>
      <c r="E50" s="79"/>
      <c r="F50" s="79"/>
      <c r="G50" s="79"/>
      <c r="H50" s="79"/>
      <c r="I50" s="80"/>
      <c r="J50" s="49"/>
    </row>
    <row r="51">
      <c r="A51" s="48"/>
      <c r="B51" s="132" t="str">
        <f>IF(E48=0,
"No se presenta un déficit en el perímetro de muslo.",
"Se presenta un déficit en el perímetro de muslo de "&amp;E48&amp;" cm.")
</f>
        <v>No se presenta un déficit en el perímetro de muslo.</v>
      </c>
      <c r="J51" s="49"/>
    </row>
    <row r="52">
      <c r="A52" s="48"/>
      <c r="B52" s="132" t="str">
        <f>IF(E49=0,
"No se presenta un déficit en el perímetro de pantorilla",
"Se presenta un déficit en el perímetro de pantorilla de "&amp;E49&amp;" cm")
</f>
        <v>No se presenta un déficit en el perímetro de pantorilla</v>
      </c>
      <c r="J52" s="49"/>
    </row>
    <row r="53">
      <c r="A53" s="48"/>
      <c r="B53" s="92" t="s">
        <v>231</v>
      </c>
      <c r="C53" s="93"/>
      <c r="D53" s="93"/>
      <c r="E53" s="93"/>
      <c r="F53" s="93"/>
      <c r="G53" s="93"/>
      <c r="H53" s="93"/>
      <c r="I53" s="94"/>
      <c r="J53" s="49"/>
    </row>
    <row r="54">
      <c r="A54" s="48"/>
      <c r="B54" s="95" t="s">
        <v>232</v>
      </c>
      <c r="C54" s="5" t="s">
        <v>202</v>
      </c>
      <c r="D54" s="5" t="s">
        <v>233</v>
      </c>
      <c r="E54" s="5" t="s">
        <v>234</v>
      </c>
      <c r="F54" s="5" t="s">
        <v>235</v>
      </c>
      <c r="G54" s="5" t="s">
        <v>236</v>
      </c>
      <c r="H54" s="121"/>
      <c r="I54" s="122"/>
      <c r="J54" s="49"/>
    </row>
    <row r="55">
      <c r="A55" s="48"/>
      <c r="B55" s="133" t="s">
        <v>237</v>
      </c>
      <c r="C55" s="134" t="s">
        <v>238</v>
      </c>
      <c r="D55" s="135" t="s">
        <v>17</v>
      </c>
      <c r="E55" s="16" t="str">
        <f>'A completar'!C35</f>
        <v/>
      </c>
      <c r="F55" s="16" t="str">
        <f>'A completar'!C36</f>
        <v/>
      </c>
      <c r="G55" s="16" t="str">
        <f>'A completar'!C37</f>
        <v/>
      </c>
      <c r="H55" s="124"/>
      <c r="I55" s="125"/>
      <c r="J55" s="49"/>
    </row>
    <row r="56">
      <c r="A56" s="136"/>
      <c r="B56" s="31"/>
      <c r="C56" s="14"/>
      <c r="D56" s="10" t="s">
        <v>18</v>
      </c>
      <c r="E56" s="16" t="str">
        <f>'A completar'!C38</f>
        <v/>
      </c>
      <c r="F56" s="16" t="str">
        <f>'A completar'!C39</f>
        <v/>
      </c>
      <c r="G56" s="16" t="str">
        <f>'A completar'!C40</f>
        <v/>
      </c>
      <c r="H56" s="126"/>
      <c r="I56" s="127"/>
      <c r="J56" s="49"/>
    </row>
    <row r="57">
      <c r="A57" s="49"/>
      <c r="B57" s="108"/>
      <c r="C57" s="79"/>
      <c r="D57" s="79"/>
      <c r="E57" s="79"/>
      <c r="F57" s="79"/>
      <c r="G57" s="79"/>
      <c r="H57" s="79"/>
      <c r="I57" s="80"/>
      <c r="J57" s="49"/>
    </row>
    <row r="58">
      <c r="A58" s="137"/>
      <c r="B58" s="95" t="s">
        <v>232</v>
      </c>
      <c r="C58" s="5" t="s">
        <v>202</v>
      </c>
      <c r="D58" s="5" t="s">
        <v>204</v>
      </c>
      <c r="E58" s="5" t="s">
        <v>205</v>
      </c>
      <c r="F58" s="5" t="s">
        <v>206</v>
      </c>
      <c r="G58" s="121"/>
      <c r="H58" s="98"/>
      <c r="I58" s="99"/>
      <c r="J58" s="49"/>
    </row>
    <row r="59">
      <c r="A59" s="138"/>
      <c r="B59" s="139" t="s">
        <v>239</v>
      </c>
      <c r="C59" s="43" t="s">
        <v>240</v>
      </c>
      <c r="D59" s="140" t="str">
        <f>'A completar'!C41</f>
        <v/>
      </c>
      <c r="E59" s="140" t="str">
        <f>'A completar'!C42</f>
        <v/>
      </c>
      <c r="F59" s="141" t="s">
        <v>241</v>
      </c>
      <c r="I59" s="103"/>
      <c r="J59" s="49"/>
    </row>
    <row r="60">
      <c r="A60" s="138"/>
      <c r="B60" s="35"/>
      <c r="C60" s="43" t="s">
        <v>36</v>
      </c>
      <c r="D60" s="8" t="str">
        <f>'A completar'!C43</f>
        <v/>
      </c>
      <c r="E60" s="141" t="str">
        <f>'A completar'!C44</f>
        <v/>
      </c>
      <c r="F60" s="141" t="s">
        <v>242</v>
      </c>
      <c r="I60" s="103"/>
      <c r="J60" s="49"/>
    </row>
    <row r="61">
      <c r="A61" s="138"/>
      <c r="B61" s="31"/>
      <c r="C61" s="142" t="s">
        <v>37</v>
      </c>
      <c r="D61" s="141" t="str">
        <f>'A completar'!C45</f>
        <v/>
      </c>
      <c r="E61" s="141" t="str">
        <f>'A completar'!C46</f>
        <v/>
      </c>
      <c r="F61" s="141" t="s">
        <v>243</v>
      </c>
      <c r="G61" s="105"/>
      <c r="H61" s="105"/>
      <c r="I61" s="106"/>
      <c r="J61" s="49"/>
    </row>
    <row r="62">
      <c r="A62" s="138"/>
      <c r="B62" s="108"/>
      <c r="C62" s="79"/>
      <c r="D62" s="79"/>
      <c r="E62" s="79"/>
      <c r="F62" s="79"/>
      <c r="G62" s="79"/>
      <c r="H62" s="79"/>
      <c r="I62" s="80"/>
      <c r="J62" s="49"/>
    </row>
    <row r="63">
      <c r="A63" s="138"/>
      <c r="B63" s="95" t="s">
        <v>232</v>
      </c>
      <c r="C63" s="5" t="s">
        <v>202</v>
      </c>
      <c r="D63" s="5" t="s">
        <v>204</v>
      </c>
      <c r="E63" s="5" t="s">
        <v>205</v>
      </c>
      <c r="F63" s="5" t="s">
        <v>206</v>
      </c>
      <c r="G63" s="121"/>
      <c r="H63" s="98"/>
      <c r="I63" s="99"/>
      <c r="J63" s="49"/>
    </row>
    <row r="64">
      <c r="A64" s="138"/>
      <c r="B64" s="143" t="s">
        <v>244</v>
      </c>
      <c r="C64" s="39" t="s">
        <v>245</v>
      </c>
      <c r="D64" s="16" t="str">
        <f>'A completar'!C47</f>
        <v/>
      </c>
      <c r="E64" s="16" t="str">
        <f>'A completar'!C48</f>
        <v/>
      </c>
      <c r="F64" s="5" t="s">
        <v>246</v>
      </c>
      <c r="G64" s="105"/>
      <c r="H64" s="105"/>
      <c r="I64" s="106"/>
      <c r="J64" s="49"/>
    </row>
    <row r="65">
      <c r="A65" s="144"/>
      <c r="B65" s="107" t="s">
        <v>212</v>
      </c>
      <c r="C65" s="79"/>
      <c r="D65" s="79"/>
      <c r="E65" s="79"/>
      <c r="F65" s="79"/>
      <c r="G65" s="79"/>
      <c r="H65" s="79"/>
      <c r="I65" s="80"/>
      <c r="J65" s="49"/>
    </row>
    <row r="66">
      <c r="A66" s="49"/>
      <c r="B66" s="108" t="str">
        <f>IF(AND(E55="X", F55="OK", G55="OK"), "En la pierna derecha, se presenta un acortamiento del Psoas Ilíaco.",
IF(AND(E55="X", F55="X", G55="OK"), "En la pierna derecha, se presenta un acortamiento del Psoas Ilíaco y del Recto Anterior.",
IF(AND(E55="X", F55="X", G55="X"), "En la pierna derecha, se presenta un acortamiento del Psoas Ilíaco, del Recto Anterior y del Sartorio.",
IF(AND(E55="X", F55="OK", G55="X"), "En la pierna derecha, se presenta un acortamiento del Psoas Ilíaco y del Sartorio.",
IF(AND(E55="OK", F55="X", G55="OK"), "En la pierna derecha, se presenta un acortamiento del Recto Anterior.",
IF(AND(E55="OK", F55="X", G55="X"), "En la pierna derecha, se presenta un acortamiento del Recto Anterior y del Sartorio.",
IF(AND(E55="OK", F55="OK", G55="X"), "En la pierna derecha, se presenta un acortamiento del Sartorio.",
IF(AND(E55="OK", F55="OK", G55="OK"), "En la pierna derecha, no se presenta un acortamiento de los flexores de cadera.",
""))))))))</f>
        <v/>
      </c>
      <c r="C66" s="79"/>
      <c r="D66" s="79"/>
      <c r="E66" s="79"/>
      <c r="F66" s="79"/>
      <c r="G66" s="79"/>
      <c r="H66" s="79"/>
      <c r="I66" s="80"/>
      <c r="J66" s="49"/>
    </row>
    <row r="67">
      <c r="A67" s="49"/>
      <c r="B67" s="108" t="str">
        <f>IF(AND(E56="X", F56="OK", G56="OK"), "En la pierna izquierda, se presenta un acortamiento del Psoas Ilíaco.",
IF(AND(E56="X", F56="X", G56="OK"), "En la pierna izquierda, se presenta un acortamiento del Psoas Ilíaco y del Recto Anterior.",
IF(AND(E56="X", F56="X", G56="X"), "En la pierna izquierda, se presenta un acortamiento del Psoas Ilíaco, del Recto Anterior y del Sartorio.",
IF(AND(E56="X", F56="OK", G56="X"), "En la pierna izquierda, se presenta un acortamiento del Psoas Ilíaco y del Sartorio.",
IF(AND(E56="OK", F56="X", G56="OK"), "En la pierna izquierda, se presenta un acortamiento del Recto Anterior.",
IF(AND(E56="OK", F56="X", G56="X"), "En la pierna izquierda, se presenta un acortamiento del Recto Anterior y del Sartorio.",
IF(AND(E56="OK", F56="OK", G56="X"), "En la pierna izquierda, se presenta un acortamiento del Sartorio.",
IF(AND(E56="OK", F56="OK", G56="OK"), "En la pierna izquierda, no se presenta un acortamiento de los flexores de cadera.",
""))))))))</f>
        <v/>
      </c>
      <c r="C67" s="79"/>
      <c r="D67" s="79"/>
      <c r="E67" s="79"/>
      <c r="F67" s="79"/>
      <c r="G67" s="79"/>
      <c r="H67" s="79"/>
      <c r="I67" s="80"/>
      <c r="J67" s="49"/>
    </row>
    <row r="68">
      <c r="A68" s="49"/>
      <c r="B68" s="112" t="str">
        <f>IF(AND(D59&gt;=70, E59&gt;=70), "No se presenta acortamiento de los isquiotibiales.",
IF(AND(D59&lt;70, E59&gt;=70), "Se presenta un acortamiento del isquiotibial de la pierna derecha.",
IF(AND(D59&gt;=70, E59&lt;70), "Se presenta un acortamiento del isquiotibial de la pierna izquierda.",
IF(AND(D59&lt;70, E59&lt;70), "Se presenta un acortamiento de los isquiotibiales en ambas piernas.",
""))))</f>
        <v>Se presenta un acortamiento de los isquiotibiales en ambas piernas.</v>
      </c>
      <c r="C68" s="79"/>
      <c r="D68" s="79"/>
      <c r="E68" s="79"/>
      <c r="F68" s="79"/>
      <c r="G68" s="79"/>
      <c r="H68" s="79"/>
      <c r="I68" s="80"/>
      <c r="J68" s="49"/>
    </row>
    <row r="69">
      <c r="A69" s="49"/>
      <c r="B69" s="112" t="str">
        <f>IF(AND(D60="OK",E60="OK"),
   "No se refiere dolor o inseguridad durante el Askling H-test en ninguna de las piernas.",
   IF(AND(D60="X",E60="OK"),
      "Refiere dolor o inseguridad en la pierna derecha durante el Askling H-test.",
      IF(AND(D60="OK",E60="X"),
         "Refiere dolor o inseguridad en la pierna izquierda durante el Askling H-test.",
         "Refiere dolor o inseguridad en ambas piernas durante el Askling H-test.")))
</f>
        <v>Refiere dolor o inseguridad en ambas piernas durante el Askling H-test.</v>
      </c>
      <c r="C69" s="79"/>
      <c r="D69" s="79"/>
      <c r="E69" s="79"/>
      <c r="F69" s="79"/>
      <c r="G69" s="79"/>
      <c r="H69" s="79"/>
      <c r="I69" s="80"/>
      <c r="J69" s="49"/>
    </row>
    <row r="70">
      <c r="A70" s="49"/>
      <c r="B70" s="145" t="str">
        <f>IF(AND(D61="OK",E61="OK"),
   "No se comprobó tensión neural mecánica del nervio ciático en ninguna de las piernas mediante la prueba de Slump test.",
   IF(AND(D61="X",E61="OK"),
      "Se comprobó tensión neural mecánica del nervio ciático en la pierna derecha mediante la prueba de Slump test.",
      IF(AND(D61="OK",E61="X"),
         "Se comprobó tensión neural mecánica del nervio ciático en la pierna izquierda mediante la prueba de Slump test.",
         "Se comprobó tensión neural mecánica del nervio ciático en ambos miembros mediante la prueba de Slump test.")))
</f>
        <v>Se comprobó tensión neural mecánica del nervio ciático en ambos miembros mediante la prueba de Slump test.</v>
      </c>
      <c r="C70" s="105"/>
      <c r="D70" s="105"/>
      <c r="E70" s="105"/>
      <c r="F70" s="105"/>
      <c r="G70" s="105"/>
      <c r="H70" s="105"/>
      <c r="I70" s="106"/>
      <c r="J70" s="49"/>
    </row>
    <row r="71">
      <c r="A71" s="49"/>
      <c r="B71" s="112" t="str">
        <f>IF(AND(D64&lt;=17.4,E64&lt;=17.4),
"No se presenta acortamiento de aductores",
IF(AND(D64&gt;17.4,E64&lt;=17.4),
"Se presenta acortamiento de aductor de la pierna derecha",
IF(AND(D64&lt;=17.4,E64&gt;17.4),
"Se presenta acortamiento de aductor de la pierna izquierda",
"Se presenta acortamiento de aductores de ambas piernas")))
</f>
        <v>No se presenta acortamiento de aductores</v>
      </c>
      <c r="C71" s="79"/>
      <c r="D71" s="79"/>
      <c r="E71" s="79"/>
      <c r="F71" s="79"/>
      <c r="G71" s="79"/>
      <c r="H71" s="79"/>
      <c r="I71" s="80"/>
      <c r="J71" s="49"/>
    </row>
    <row r="72">
      <c r="A72" s="49"/>
      <c r="B72" s="92" t="s">
        <v>247</v>
      </c>
      <c r="C72" s="93"/>
      <c r="D72" s="93"/>
      <c r="E72" s="93"/>
      <c r="F72" s="93"/>
      <c r="G72" s="93"/>
      <c r="H72" s="93"/>
      <c r="I72" s="94"/>
      <c r="J72" s="49"/>
    </row>
    <row r="73">
      <c r="A73" s="49"/>
      <c r="B73" s="123" t="s">
        <v>248</v>
      </c>
      <c r="C73" s="146" t="s">
        <v>17</v>
      </c>
      <c r="D73" s="79"/>
      <c r="E73" s="2"/>
      <c r="F73" s="96" t="s">
        <v>18</v>
      </c>
      <c r="G73" s="79"/>
      <c r="H73" s="2"/>
      <c r="I73" s="147"/>
      <c r="J73" s="49"/>
    </row>
    <row r="74">
      <c r="A74" s="49"/>
      <c r="B74" s="31"/>
      <c r="C74" s="5" t="s">
        <v>40</v>
      </c>
      <c r="D74" s="5" t="s">
        <v>41</v>
      </c>
      <c r="E74" s="5" t="s">
        <v>42</v>
      </c>
      <c r="F74" s="5" t="s">
        <v>40</v>
      </c>
      <c r="G74" s="5" t="s">
        <v>41</v>
      </c>
      <c r="H74" s="5" t="s">
        <v>42</v>
      </c>
      <c r="I74" s="148"/>
      <c r="J74" s="49"/>
    </row>
    <row r="75">
      <c r="A75" s="49"/>
      <c r="B75" s="149" t="s">
        <v>249</v>
      </c>
      <c r="C75" s="18" t="str">
        <f>'A completar'!C49</f>
        <v/>
      </c>
      <c r="D75" s="18" t="str">
        <f>'A completar'!C50</f>
        <v/>
      </c>
      <c r="E75" s="18" t="str">
        <f>'A completar'!C51</f>
        <v/>
      </c>
      <c r="F75" s="18" t="str">
        <f>'A completar'!C52</f>
        <v/>
      </c>
      <c r="G75" s="18" t="str">
        <f>'A completar'!C53</f>
        <v/>
      </c>
      <c r="H75" s="18" t="str">
        <f>'A completar'!C54</f>
        <v/>
      </c>
      <c r="I75" s="148"/>
      <c r="J75" s="49"/>
    </row>
    <row r="76">
      <c r="A76" s="49"/>
      <c r="B76" s="149" t="s">
        <v>250</v>
      </c>
      <c r="C76" s="18" t="str">
        <f>'A completar'!C55</f>
        <v/>
      </c>
      <c r="D76" s="18" t="str">
        <f>'A completar'!C56</f>
        <v/>
      </c>
      <c r="E76" s="18" t="str">
        <f>'A completar'!C57</f>
        <v/>
      </c>
      <c r="F76" s="18" t="str">
        <f>'A completar'!C58</f>
        <v/>
      </c>
      <c r="G76" s="18" t="str">
        <f>'A completar'!C59</f>
        <v/>
      </c>
      <c r="H76" s="18" t="str">
        <f>'A completar'!C60</f>
        <v/>
      </c>
      <c r="I76" s="148"/>
      <c r="J76" s="49"/>
    </row>
    <row r="77">
      <c r="A77" s="49"/>
      <c r="B77" s="149" t="s">
        <v>251</v>
      </c>
      <c r="C77" s="18" t="str">
        <f>'A completar'!C61</f>
        <v/>
      </c>
      <c r="D77" s="18" t="str">
        <f>'A completar'!C62</f>
        <v/>
      </c>
      <c r="E77" s="18" t="str">
        <f>'A completar'!C63</f>
        <v/>
      </c>
      <c r="F77" s="18" t="str">
        <f>'A completar'!C64</f>
        <v/>
      </c>
      <c r="G77" s="18" t="str">
        <f>'A completar'!C65</f>
        <v/>
      </c>
      <c r="H77" s="18" t="str">
        <f>'A completar'!C66</f>
        <v/>
      </c>
      <c r="I77" s="148"/>
      <c r="J77" s="49"/>
    </row>
    <row r="78">
      <c r="A78" s="49"/>
      <c r="B78" s="149" t="s">
        <v>252</v>
      </c>
      <c r="C78" s="18" t="str">
        <f>'A completar'!C67</f>
        <v/>
      </c>
      <c r="D78" s="18" t="str">
        <f>'A completar'!C68</f>
        <v/>
      </c>
      <c r="E78" s="18" t="str">
        <f>'A completar'!C69</f>
        <v/>
      </c>
      <c r="F78" s="18" t="str">
        <f>'A completar'!C70</f>
        <v/>
      </c>
      <c r="G78" s="18" t="str">
        <f>'A completar'!C71</f>
        <v/>
      </c>
      <c r="H78" s="18" t="str">
        <f>'A completar'!C72</f>
        <v/>
      </c>
      <c r="I78" s="148"/>
      <c r="J78" s="49"/>
    </row>
    <row r="79">
      <c r="A79" s="49"/>
      <c r="B79" s="149" t="s">
        <v>253</v>
      </c>
      <c r="C79" s="18" t="str">
        <f>'A completar'!C73</f>
        <v/>
      </c>
      <c r="D79" s="18" t="s">
        <v>57</v>
      </c>
      <c r="E79" s="18" t="s">
        <v>57</v>
      </c>
      <c r="F79" s="18" t="str">
        <f>'A completar'!C74</f>
        <v/>
      </c>
      <c r="G79" s="18" t="s">
        <v>57</v>
      </c>
      <c r="H79" s="18" t="s">
        <v>57</v>
      </c>
      <c r="I79" s="148"/>
      <c r="J79" s="49"/>
    </row>
    <row r="80">
      <c r="A80" s="49"/>
      <c r="B80" s="149" t="s">
        <v>254</v>
      </c>
      <c r="C80" s="18" t="str">
        <f>'A completar'!C75</f>
        <v/>
      </c>
      <c r="D80" s="18" t="s">
        <v>57</v>
      </c>
      <c r="E80" s="18" t="s">
        <v>57</v>
      </c>
      <c r="F80" s="18" t="str">
        <f>'A completar'!C76</f>
        <v/>
      </c>
      <c r="G80" s="18" t="s">
        <v>57</v>
      </c>
      <c r="H80" s="18" t="s">
        <v>57</v>
      </c>
      <c r="I80" s="150"/>
      <c r="J80" s="49"/>
    </row>
    <row r="81">
      <c r="A81" s="49"/>
      <c r="B81" s="107"/>
      <c r="C81" s="79"/>
      <c r="D81" s="79"/>
      <c r="E81" s="79"/>
      <c r="F81" s="79"/>
      <c r="G81" s="79"/>
      <c r="H81" s="79"/>
      <c r="I81" s="80"/>
      <c r="J81" s="49"/>
    </row>
    <row r="82">
      <c r="A82" s="49"/>
      <c r="B82" s="95" t="s">
        <v>255</v>
      </c>
      <c r="C82" s="5" t="s">
        <v>17</v>
      </c>
      <c r="D82" s="5" t="s">
        <v>18</v>
      </c>
      <c r="E82" s="5" t="s">
        <v>256</v>
      </c>
      <c r="F82" s="5" t="s">
        <v>257</v>
      </c>
      <c r="G82" s="5" t="s">
        <v>258</v>
      </c>
      <c r="H82" s="5" t="s">
        <v>259</v>
      </c>
      <c r="I82" s="147"/>
      <c r="J82" s="49"/>
    </row>
    <row r="83">
      <c r="A83" s="49"/>
      <c r="B83" s="149" t="s">
        <v>260</v>
      </c>
      <c r="C83" s="16" t="str">
        <f>'A completar'!C77</f>
        <v/>
      </c>
      <c r="D83" s="16" t="str">
        <f>'A completar'!C78</f>
        <v/>
      </c>
      <c r="E83" s="5" t="s">
        <v>57</v>
      </c>
      <c r="F83" s="5" t="s">
        <v>57</v>
      </c>
      <c r="G83" s="5" t="s">
        <v>57</v>
      </c>
      <c r="H83" s="5" t="s">
        <v>57</v>
      </c>
      <c r="I83" s="148"/>
      <c r="J83" s="49"/>
    </row>
    <row r="84">
      <c r="A84" s="49"/>
      <c r="B84" s="149" t="s">
        <v>261</v>
      </c>
      <c r="C84" s="16" t="str">
        <f>'A completar'!C79</f>
        <v/>
      </c>
      <c r="D84" s="16" t="str">
        <f>'A completar'!C80</f>
        <v/>
      </c>
      <c r="E84" s="5" t="s">
        <v>57</v>
      </c>
      <c r="F84" s="5" t="s">
        <v>57</v>
      </c>
      <c r="G84" s="5" t="s">
        <v>57</v>
      </c>
      <c r="H84" s="5" t="s">
        <v>57</v>
      </c>
      <c r="I84" s="148"/>
      <c r="J84" s="49"/>
    </row>
    <row r="85">
      <c r="A85" s="49"/>
      <c r="B85" s="149" t="s">
        <v>61</v>
      </c>
      <c r="C85" s="16" t="str">
        <f>'A completar'!C85</f>
        <v/>
      </c>
      <c r="D85" s="16" t="str">
        <f>'A completar'!C86</f>
        <v/>
      </c>
      <c r="E85" s="5" t="s">
        <v>57</v>
      </c>
      <c r="F85" s="5" t="s">
        <v>57</v>
      </c>
      <c r="G85" s="5" t="s">
        <v>57</v>
      </c>
      <c r="H85" s="5" t="s">
        <v>57</v>
      </c>
      <c r="I85" s="148"/>
      <c r="J85" s="49"/>
    </row>
    <row r="86">
      <c r="A86" s="49"/>
      <c r="B86" s="149" t="s">
        <v>262</v>
      </c>
      <c r="C86" s="5" t="s">
        <v>57</v>
      </c>
      <c r="D86" s="5" t="s">
        <v>57</v>
      </c>
      <c r="E86" s="16" t="str">
        <f>'A completar'!C81</f>
        <v/>
      </c>
      <c r="F86" s="16" t="str">
        <f>'A completar'!C82</f>
        <v/>
      </c>
      <c r="G86" s="16" t="str">
        <f>'A completar'!C83</f>
        <v/>
      </c>
      <c r="H86" s="16" t="str">
        <f>'A completar'!C84</f>
        <v/>
      </c>
      <c r="I86" s="150"/>
      <c r="J86" s="49"/>
    </row>
    <row r="87">
      <c r="A87" s="49"/>
      <c r="B87" s="151" t="s">
        <v>263</v>
      </c>
      <c r="C87" s="93"/>
      <c r="D87" s="93"/>
      <c r="E87" s="93"/>
      <c r="F87" s="93"/>
      <c r="G87" s="93"/>
      <c r="H87" s="93"/>
      <c r="I87" s="94"/>
      <c r="J87" s="49"/>
    </row>
    <row r="88">
      <c r="A88" s="49"/>
      <c r="B88" s="152" t="s">
        <v>232</v>
      </c>
      <c r="C88" s="43" t="s">
        <v>264</v>
      </c>
      <c r="D88" s="8" t="s">
        <v>204</v>
      </c>
      <c r="E88" s="8" t="s">
        <v>205</v>
      </c>
      <c r="F88" s="153" t="s">
        <v>265</v>
      </c>
      <c r="G88" s="2"/>
      <c r="H88" s="141" t="s">
        <v>206</v>
      </c>
      <c r="I88" s="57"/>
      <c r="J88" s="49"/>
    </row>
    <row r="89">
      <c r="A89" s="49"/>
      <c r="B89" s="139" t="s">
        <v>266</v>
      </c>
      <c r="C89" s="43" t="s">
        <v>267</v>
      </c>
      <c r="D89" s="141" t="str">
        <f>'A completar'!C88</f>
        <v/>
      </c>
      <c r="E89" s="141" t="str">
        <f>'A completar'!C91</f>
        <v/>
      </c>
      <c r="F89" s="154">
        <f t="shared" ref="F89:F91" si="6">E89-D89</f>
        <v>0</v>
      </c>
      <c r="G89" s="2"/>
      <c r="H89" s="141" t="s">
        <v>268</v>
      </c>
      <c r="I89" s="57"/>
      <c r="J89" s="49"/>
    </row>
    <row r="90">
      <c r="A90" s="49"/>
      <c r="B90" s="35"/>
      <c r="C90" s="43" t="s">
        <v>269</v>
      </c>
      <c r="D90" s="141" t="str">
        <f>'A completar'!C89</f>
        <v/>
      </c>
      <c r="E90" s="141" t="str">
        <f>'A completar'!C92</f>
        <v/>
      </c>
      <c r="F90" s="155">
        <f t="shared" si="6"/>
        <v>0</v>
      </c>
      <c r="G90" s="2"/>
      <c r="H90" s="141" t="s">
        <v>268</v>
      </c>
      <c r="I90" s="57"/>
      <c r="J90" s="49"/>
    </row>
    <row r="91">
      <c r="A91" s="49"/>
      <c r="B91" s="35"/>
      <c r="C91" s="43" t="s">
        <v>270</v>
      </c>
      <c r="D91" s="141" t="str">
        <f>'A completar'!C90</f>
        <v/>
      </c>
      <c r="E91" s="141" t="str">
        <f>'A completar'!C93</f>
        <v/>
      </c>
      <c r="F91" s="154">
        <f t="shared" si="6"/>
        <v>0</v>
      </c>
      <c r="G91" s="2"/>
      <c r="H91" s="141" t="s">
        <v>268</v>
      </c>
      <c r="I91" s="57"/>
      <c r="J91" s="49"/>
    </row>
    <row r="92">
      <c r="A92" s="49"/>
      <c r="B92" s="31"/>
      <c r="C92" s="43" t="s">
        <v>271</v>
      </c>
      <c r="D92" s="156" t="str">
        <f>((D89+D90+D91)/(3*'A completar'!C87))*100
</f>
        <v>#DIV/0!</v>
      </c>
      <c r="E92" s="156" t="str">
        <f>((E89+E90+E91)/(3*'A completar'!C87))*100
</f>
        <v>#DIV/0!</v>
      </c>
      <c r="F92" s="157" t="s">
        <v>57</v>
      </c>
      <c r="G92" s="2"/>
      <c r="H92" s="141" t="s">
        <v>272</v>
      </c>
      <c r="I92" s="57"/>
      <c r="J92" s="49"/>
    </row>
    <row r="93">
      <c r="A93" s="49"/>
      <c r="B93" s="158"/>
      <c r="C93" s="159"/>
      <c r="D93" s="159"/>
      <c r="E93" s="159"/>
      <c r="F93" s="159"/>
      <c r="G93" s="159"/>
      <c r="H93" s="130"/>
      <c r="I93" s="57"/>
      <c r="J93" s="49"/>
    </row>
    <row r="94">
      <c r="A94" s="49"/>
      <c r="B94" s="160" t="s">
        <v>232</v>
      </c>
      <c r="C94" s="2"/>
      <c r="D94" s="157" t="s">
        <v>204</v>
      </c>
      <c r="E94" s="2"/>
      <c r="F94" s="157" t="s">
        <v>205</v>
      </c>
      <c r="G94" s="2"/>
      <c r="H94" s="141" t="s">
        <v>206</v>
      </c>
      <c r="I94" s="57"/>
      <c r="J94" s="49"/>
    </row>
    <row r="95">
      <c r="A95" s="49"/>
      <c r="B95" s="30" t="s">
        <v>273</v>
      </c>
      <c r="C95" s="43" t="s">
        <v>69</v>
      </c>
      <c r="D95" s="153" t="str">
        <f>'A completar'!C94</f>
        <v/>
      </c>
      <c r="E95" s="2"/>
      <c r="F95" s="153" t="str">
        <f>'A completar'!C96</f>
        <v/>
      </c>
      <c r="G95" s="2"/>
      <c r="H95" s="8" t="s">
        <v>274</v>
      </c>
      <c r="I95" s="57"/>
      <c r="J95" s="49"/>
    </row>
    <row r="96">
      <c r="A96" s="49"/>
      <c r="B96" s="31"/>
      <c r="C96" s="43" t="s">
        <v>70</v>
      </c>
      <c r="D96" s="153" t="str">
        <f>'A completar'!C95</f>
        <v/>
      </c>
      <c r="E96" s="2"/>
      <c r="F96" s="153" t="str">
        <f>'A completar'!C97</f>
        <v/>
      </c>
      <c r="G96" s="2"/>
      <c r="H96" s="8" t="s">
        <v>275</v>
      </c>
      <c r="I96" s="57"/>
      <c r="J96" s="49"/>
    </row>
    <row r="97">
      <c r="A97" s="49"/>
      <c r="B97" s="161" t="s">
        <v>276</v>
      </c>
      <c r="C97" s="43" t="s">
        <v>73</v>
      </c>
      <c r="D97" s="153" t="str">
        <f>'A completar'!C98</f>
        <v/>
      </c>
      <c r="E97" s="2"/>
      <c r="F97" s="153" t="str">
        <f>'A completar'!C100</f>
        <v/>
      </c>
      <c r="G97" s="2"/>
      <c r="H97" s="8" t="s">
        <v>57</v>
      </c>
      <c r="I97" s="57"/>
      <c r="J97" s="49"/>
    </row>
    <row r="98">
      <c r="A98" s="49"/>
      <c r="B98" s="31"/>
      <c r="C98" s="43" t="s">
        <v>74</v>
      </c>
      <c r="D98" s="153" t="str">
        <f>'A completar'!C99</f>
        <v/>
      </c>
      <c r="E98" s="2"/>
      <c r="F98" s="153" t="str">
        <f>'A completar'!C101</f>
        <v/>
      </c>
      <c r="G98" s="2"/>
      <c r="H98" s="8" t="s">
        <v>57</v>
      </c>
      <c r="I98" s="162"/>
      <c r="J98" s="49"/>
    </row>
    <row r="99">
      <c r="A99" s="49"/>
      <c r="B99" s="163" t="s">
        <v>212</v>
      </c>
      <c r="C99" s="79"/>
      <c r="D99" s="79"/>
      <c r="E99" s="79"/>
      <c r="F99" s="79"/>
      <c r="G99" s="79"/>
      <c r="H99" s="79"/>
      <c r="I99" s="80"/>
      <c r="J99" s="49"/>
    </row>
    <row r="100">
      <c r="A100" s="49"/>
      <c r="B100" s="164" t="str">
        <f>IF(AND(F89&gt;=-4,F89&lt;=4),
"El alcance anterior se encuentra normal.",
"El alcance anterior se encuentra en déficit.")
</f>
        <v>El alcance anterior se encuentra normal.</v>
      </c>
      <c r="C100" s="105"/>
      <c r="D100" s="105"/>
      <c r="E100" s="105"/>
      <c r="F100" s="105"/>
      <c r="G100" s="105"/>
      <c r="H100" s="105"/>
      <c r="I100" s="106"/>
      <c r="J100" s="49"/>
    </row>
    <row r="101">
      <c r="A101" s="49"/>
      <c r="B101" s="164" t="str">
        <f>IF(AND(F90&gt;=-4,F90&lt;=4),
"El alcance posteromedial se encuentra normal.",
"El alcance posteromedial se encuentra en déficit.")
</f>
        <v>El alcance posteromedial se encuentra normal.</v>
      </c>
      <c r="C101" s="105"/>
      <c r="D101" s="105"/>
      <c r="E101" s="105"/>
      <c r="F101" s="105"/>
      <c r="G101" s="105"/>
      <c r="H101" s="105"/>
      <c r="I101" s="106"/>
      <c r="J101" s="49"/>
    </row>
    <row r="102">
      <c r="A102" s="49"/>
      <c r="B102" s="164" t="str">
        <f>IF(AND(F91&gt;=-4,F91&lt;=4),
"El alcance posterolateral se encuentra normal.",
"El alcance posterolateral se encuentra en déficit.")
</f>
        <v>El alcance posterolateral se encuentra normal.</v>
      </c>
      <c r="C102" s="105"/>
      <c r="D102" s="105"/>
      <c r="E102" s="105"/>
      <c r="F102" s="105"/>
      <c r="G102" s="105"/>
      <c r="H102" s="105"/>
      <c r="I102" s="106"/>
      <c r="J102" s="49"/>
    </row>
    <row r="103">
      <c r="A103" s="49"/>
      <c r="B103" s="165" t="str">
        <f>IF(AND(D92&gt;=94, E92&gt;=94), 
   "El composite (relación entre la distancia alcanzada y la longitud de la pierna) se encuentra dentro de los valores de referencia.",
IF(AND(D92&lt;94, E92&gt;=94), 
   "El composite (relación entre la distancia alcanzada y la longitud de la pierna) de la pierna derecha se encuentra por debajo de los valores de referencia.",
IF(AND(D92&gt;=94, E92&lt;94), 
   "El composite (relación entre la distancia alcanzada y la longitud de la pierna) de la pierna izquierda se encuentra por debajo de los valores de referencia.",
IF(AND(D92&lt;94, E92&lt;94), 
   "El composite (relación entre la distancia alcanzada y la longitud de la pierna) de ambas piernas se encuentran por debajo de los valores de referencia.",
""))))
</f>
        <v>#DIV/0!</v>
      </c>
      <c r="C103" s="79"/>
      <c r="D103" s="79"/>
      <c r="E103" s="79"/>
      <c r="F103" s="79"/>
      <c r="G103" s="79"/>
      <c r="H103" s="79"/>
      <c r="I103" s="80"/>
      <c r="J103" s="49"/>
    </row>
    <row r="104">
      <c r="A104" s="49"/>
      <c r="B104" s="166" t="str">
        <f>IF(AND(D95&gt;=45,F95&gt;=45),
"Se presenta un correcto balance monopodal con ojos abiertos",
IF(AND(D95&lt;45,F95&gt;=45),
"Se presenta un déficit en el balance monopodal con ojos abiertos de la pierna derecha",
IF(AND(D95&gt;=45,F95&lt;45),
"Se presenta un déficit en el balance monopodal con ojos abiertos de la pierna izquierda",
"Se presenta un déficit en el balance monopodal con ojos abiertos de ambas piernas")))
</f>
        <v>Se presenta un déficit en el balance monopodal con ojos abiertos de ambas piernas</v>
      </c>
      <c r="C104" s="79"/>
      <c r="D104" s="79"/>
      <c r="E104" s="79"/>
      <c r="F104" s="79"/>
      <c r="G104" s="79"/>
      <c r="H104" s="79"/>
      <c r="I104" s="80"/>
      <c r="J104" s="49"/>
    </row>
    <row r="105">
      <c r="A105" s="49"/>
      <c r="B105" s="166" t="str">
        <f>IF(AND(D96&gt;=9,F96&gt;=9),
"Se presenta un correcto balance monopodal con ojos cerrados",
IF(AND(D96&lt;9,F96&gt;=9),
"Se presenta un déficit en el balance monopodal con ojos cerrados de la pierna derecha",
IF(AND(D96&gt;=9,F96&lt;9),
"Se presenta un déficit en el balance monopodal con ojos cerrados de la pierna izquierda",
"Se presenta un déficit en el balance monopodal con ojos cerrados de ambas piernas")))
</f>
        <v>Se presenta un déficit en el balance monopodal con ojos cerrados de ambas piernas</v>
      </c>
      <c r="C105" s="79"/>
      <c r="D105" s="79"/>
      <c r="E105" s="79"/>
      <c r="F105" s="79"/>
      <c r="G105" s="79"/>
      <c r="H105" s="79"/>
      <c r="I105" s="80"/>
      <c r="J105" s="49"/>
    </row>
    <row r="106">
      <c r="A106" s="49"/>
      <c r="B106" s="166" t="str">
        <f>IF(AND(D97="OK", D98="OK", F97="OK", F98="OK"),
"La prueba de balance vestibular fue satisfactoria en ambas piernas en ambos movimientos.",
IF(AND(D97="X", D98="X", F97="OK", F98="OK"),
"Se presenta un déficit vestibular en la pierna derecha en ambos movimientos.",
IF(AND(F97="X", F98="X", D97="OK", D98="OK"),
"Se presenta un déficit vestibular en la pierna izquierda en ambos movimientos.",
IF(AND(D97="X", F97="X", D98="OK", F98="OK"),
"Se presenta un déficit de balance vestibular en movimiento lateral en ambas piernas.",
IF(AND(D98="X", F98="X", D97="OK", F97="OK"),
"Se presenta un déficit de balance vestibular en movimiento vertical en ambas piernas.",
IF(AND(D97="X", D98="OK", F97="OK", F98="OK"),
"Se presenta un déficit vestibular en movimiento lateral de la pierna derecha.",
IF(AND(D97="OK", D98="X", F97="OK", F98="OK"),
"Se presenta un déficit vestibular en movimiento vertical de la pierna izquierda.",
IF(AND(F97="X", F98="OK", D97="OK", D98="OK"),
"Se presenta un déficit vestibular en movimiento lateral de la pierna derecha.",
IF(AND(F97="OK", F98="X", D97="OK", D98="OK"),
"Se presenta un déficit vestibular en movimiento vertical de la pierna izquierda.",
"Se presenta déficit vestibular en múltiples combinaciones.")))))))))
</f>
        <v>Se presenta déficit vestibular en múltiples combinaciones.</v>
      </c>
      <c r="C106" s="79"/>
      <c r="D106" s="79"/>
      <c r="E106" s="79"/>
      <c r="F106" s="79"/>
      <c r="G106" s="79"/>
      <c r="H106" s="79"/>
      <c r="I106" s="80"/>
      <c r="J106" s="49"/>
    </row>
    <row r="107">
      <c r="A107" s="49"/>
      <c r="B107" s="151" t="s">
        <v>277</v>
      </c>
      <c r="C107" s="93"/>
      <c r="D107" s="93"/>
      <c r="E107" s="93"/>
      <c r="F107" s="93"/>
      <c r="G107" s="93"/>
      <c r="H107" s="93"/>
      <c r="I107" s="94"/>
      <c r="J107" s="49"/>
    </row>
    <row r="108">
      <c r="A108" s="49"/>
      <c r="B108" s="113" t="s">
        <v>278</v>
      </c>
      <c r="C108" s="8" t="s">
        <v>203</v>
      </c>
      <c r="D108" s="8" t="s">
        <v>204</v>
      </c>
      <c r="E108" s="8" t="s">
        <v>205</v>
      </c>
      <c r="F108" s="141" t="s">
        <v>206</v>
      </c>
      <c r="G108" s="141" t="s">
        <v>279</v>
      </c>
      <c r="H108" s="159"/>
      <c r="I108" s="103"/>
      <c r="J108" s="49"/>
    </row>
    <row r="109">
      <c r="A109" s="49"/>
      <c r="B109" s="30" t="s">
        <v>280</v>
      </c>
      <c r="C109" s="39" t="s">
        <v>281</v>
      </c>
      <c r="D109" s="141" t="str">
        <f>'A completar'!C102</f>
        <v/>
      </c>
      <c r="E109" s="141" t="str">
        <f>'A completar'!C103</f>
        <v/>
      </c>
      <c r="F109" s="141" t="s">
        <v>282</v>
      </c>
      <c r="G109" s="156" t="str">
        <f>(D109*100)/E109</f>
        <v>#DIV/0!</v>
      </c>
      <c r="I109" s="103"/>
      <c r="J109" s="49"/>
    </row>
    <row r="110">
      <c r="A110" s="49"/>
      <c r="B110" s="35"/>
      <c r="C110" s="39" t="s">
        <v>283</v>
      </c>
      <c r="D110" s="153" t="str">
        <f>'A completar'!C104</f>
        <v/>
      </c>
      <c r="E110" s="2"/>
      <c r="F110" s="8" t="s">
        <v>284</v>
      </c>
      <c r="G110" s="167" t="s">
        <v>57</v>
      </c>
      <c r="I110" s="103"/>
      <c r="J110" s="49"/>
    </row>
    <row r="111">
      <c r="A111" s="49"/>
      <c r="B111" s="35"/>
      <c r="C111" s="39" t="s">
        <v>285</v>
      </c>
      <c r="D111" s="153" t="str">
        <f>'A completar'!C105</f>
        <v/>
      </c>
      <c r="E111" s="2"/>
      <c r="F111" s="8" t="s">
        <v>286</v>
      </c>
      <c r="G111" s="167" t="s">
        <v>57</v>
      </c>
      <c r="I111" s="103"/>
      <c r="J111" s="49"/>
    </row>
    <row r="112">
      <c r="A112" s="49"/>
      <c r="B112" s="31"/>
      <c r="C112" s="39" t="s">
        <v>287</v>
      </c>
      <c r="D112" s="168" t="str">
        <f>D110/D111</f>
        <v>#DIV/0!</v>
      </c>
      <c r="E112" s="2"/>
      <c r="F112" s="8">
        <v>0.76</v>
      </c>
      <c r="G112" s="167" t="s">
        <v>57</v>
      </c>
      <c r="I112" s="103"/>
      <c r="J112" s="49"/>
    </row>
    <row r="113">
      <c r="A113" s="49"/>
      <c r="B113" s="161" t="s">
        <v>288</v>
      </c>
      <c r="C113" s="43" t="s">
        <v>289</v>
      </c>
      <c r="D113" s="141" t="str">
        <f>'A completar'!C106</f>
        <v/>
      </c>
      <c r="E113" s="141" t="str">
        <f>'A completar'!C107</f>
        <v/>
      </c>
      <c r="F113" s="141">
        <v>20.0</v>
      </c>
      <c r="G113" s="156" t="str">
        <f>(D113*100)/E113</f>
        <v>#DIV/0!</v>
      </c>
      <c r="I113" s="103"/>
      <c r="J113" s="49"/>
    </row>
    <row r="114">
      <c r="A114" s="49"/>
      <c r="B114" s="31"/>
      <c r="C114" s="39" t="s">
        <v>290</v>
      </c>
      <c r="D114" s="169" t="str">
        <f>'A completar'!C108</f>
        <v/>
      </c>
      <c r="E114" s="16" t="str">
        <f>'A completar'!C109</f>
        <v/>
      </c>
      <c r="F114" s="8" t="s">
        <v>57</v>
      </c>
      <c r="G114" s="167" t="s">
        <v>57</v>
      </c>
      <c r="I114" s="103"/>
      <c r="J114" s="49"/>
    </row>
    <row r="115">
      <c r="A115" s="49"/>
      <c r="B115" s="161" t="s">
        <v>291</v>
      </c>
      <c r="C115" s="43" t="s">
        <v>292</v>
      </c>
      <c r="D115" s="141" t="str">
        <f>'A completar'!C110</f>
        <v/>
      </c>
      <c r="E115" s="141" t="str">
        <f>'A completar'!C111</f>
        <v/>
      </c>
      <c r="F115" s="141">
        <v>20.0</v>
      </c>
      <c r="G115" s="156" t="str">
        <f>(D115*100)/E115</f>
        <v>#DIV/0!</v>
      </c>
      <c r="I115" s="103"/>
      <c r="J115" s="49"/>
    </row>
    <row r="116">
      <c r="A116" s="49"/>
      <c r="B116" s="31"/>
      <c r="C116" s="39" t="s">
        <v>290</v>
      </c>
      <c r="D116" s="169" t="str">
        <f>'A completar'!C112</f>
        <v/>
      </c>
      <c r="E116" s="16" t="str">
        <f>'A completar'!C113</f>
        <v/>
      </c>
      <c r="F116" s="141"/>
      <c r="G116" s="156"/>
      <c r="I116" s="103"/>
      <c r="J116" s="49"/>
    </row>
    <row r="117">
      <c r="A117" s="49"/>
      <c r="B117" s="30" t="s">
        <v>293</v>
      </c>
      <c r="C117" s="39" t="s">
        <v>294</v>
      </c>
      <c r="D117" s="141" t="str">
        <f>'A completar'!C114</f>
        <v/>
      </c>
      <c r="E117" s="141" t="str">
        <f>'A completar'!C115</f>
        <v/>
      </c>
      <c r="F117" s="8">
        <v>20.0</v>
      </c>
      <c r="G117" s="156" t="str">
        <f>(D117*100)/E117</f>
        <v>#DIV/0!</v>
      </c>
      <c r="I117" s="103"/>
      <c r="J117" s="49"/>
    </row>
    <row r="118">
      <c r="A118" s="49"/>
      <c r="B118" s="31"/>
      <c r="C118" s="170" t="s">
        <v>290</v>
      </c>
      <c r="D118" s="169" t="str">
        <f>'A completar'!C116</f>
        <v/>
      </c>
      <c r="E118" s="16" t="str">
        <f>'A completar'!C117</f>
        <v/>
      </c>
      <c r="F118" s="8" t="s">
        <v>57</v>
      </c>
      <c r="G118" s="167" t="s">
        <v>57</v>
      </c>
      <c r="H118" s="105"/>
      <c r="I118" s="106"/>
      <c r="J118" s="49"/>
    </row>
    <row r="119">
      <c r="A119" s="49"/>
      <c r="B119" s="163" t="s">
        <v>212</v>
      </c>
      <c r="C119" s="79"/>
      <c r="D119" s="79"/>
      <c r="E119" s="79"/>
      <c r="F119" s="79"/>
      <c r="G119" s="79"/>
      <c r="H119" s="79"/>
      <c r="I119" s="80"/>
      <c r="J119" s="49"/>
    </row>
    <row r="120">
      <c r="A120" s="49"/>
      <c r="B120" s="158" t="str">
        <f>IF(OR(D109&lt;85, E109&lt;85), 
   "Se presenta un déficit de fuerza resistencia en los inclinadores laterales de tronco.", 
   "Se presenta buena fuerza resistencia de inclinadores laterales de tronco alcanzando los valores de referencia.")
</f>
        <v>Se presenta un déficit de fuerza resistencia en los inclinadores laterales de tronco.</v>
      </c>
      <c r="C120" s="159"/>
      <c r="D120" s="159"/>
      <c r="E120" s="159"/>
      <c r="F120" s="159"/>
      <c r="G120" s="159"/>
      <c r="H120" s="159"/>
      <c r="I120" s="171"/>
      <c r="J120" s="49"/>
    </row>
    <row r="121">
      <c r="A121" s="49"/>
      <c r="B121" s="158" t="str">
        <f>IF(OR(D110&lt;130), 
   "Se presenta un déficit de fuerza resistencia en los flexores de tronco.", 
   "Se presenta buena fuerza resistencia de flexores de tronco alcanzando los valores de referencia.")
</f>
        <v>Se presenta un déficit de fuerza resistencia en los flexores de tronco.</v>
      </c>
      <c r="C121" s="159"/>
      <c r="D121" s="159"/>
      <c r="E121" s="159"/>
      <c r="F121" s="159"/>
      <c r="G121" s="159"/>
      <c r="H121" s="159"/>
      <c r="I121" s="171"/>
      <c r="J121" s="49"/>
    </row>
    <row r="122">
      <c r="A122" s="49"/>
      <c r="B122" s="158" t="str">
        <f>IF(OR(D111&lt;170), 
   "Se presenta un déficit de fuerza resistencia en los extensores de tronco.", 
   "Se presenta buena fuerza resistencia de extensores de tronco alcanzando los valores de referencia.")
</f>
        <v>Se presenta un déficit de fuerza resistencia en los extensores de tronco.</v>
      </c>
      <c r="C122" s="159"/>
      <c r="D122" s="159"/>
      <c r="E122" s="159"/>
      <c r="F122" s="159"/>
      <c r="G122" s="159"/>
      <c r="H122" s="159"/>
      <c r="I122" s="171"/>
      <c r="J122" s="49"/>
    </row>
    <row r="123">
      <c r="A123" s="49"/>
      <c r="B123" s="158" t="str">
        <f>IF(AND(D112&gt;=0.75,D112&lt;=0.77),
"La relación flexores - extensores de tronco se encuentra normal.",
"La relación flexores - extensores de tronco se encuentra alterada.")
</f>
        <v>#DIV/0!</v>
      </c>
      <c r="C123" s="159"/>
      <c r="D123" s="159"/>
      <c r="E123" s="159"/>
      <c r="F123" s="159"/>
      <c r="G123" s="159"/>
      <c r="H123" s="159"/>
      <c r="I123" s="171"/>
      <c r="J123" s="49"/>
    </row>
    <row r="124">
      <c r="A124" s="49"/>
      <c r="B124" s="158" t="str">
        <f>IF(AND(D113&lt;20, E113&gt;=20), "Se presenta un déficit de fuerza resistencia de glúteo de la pierna derecha.",
IF(AND(D113&gt;=20, E113&lt;20), "Se presenta un déficit de fuerza resistencia de glúteo de la pierna izquierda.",
IF(AND(D113&lt;20, E113&lt;20), "Se presenta un déficit de fuerza resistencia de glúteo en ambas piernas.",
"Se presenta buena fuerza resistencia de glúteo alcanzando los valores de referencia.")))
</f>
        <v>Se presenta un déficit de fuerza resistencia de glúteo en ambas piernas.</v>
      </c>
      <c r="C124" s="159"/>
      <c r="D124" s="159"/>
      <c r="E124" s="159"/>
      <c r="F124" s="159"/>
      <c r="G124" s="159"/>
      <c r="H124" s="159"/>
      <c r="I124" s="171"/>
      <c r="J124" s="49"/>
    </row>
    <row r="125">
      <c r="A125" s="49"/>
      <c r="B125" s="158" t="str">
        <f>IF(AND(D115&lt;20, E115&gt;=20), "Se presenta un déficit de fuerza resistencia de gemelo de la pierna derecha.",
IF(AND(D115&gt;=20, E115&lt;20), "Se presenta un déficit de fuerza resistencia de gemelo de la pierna izquierda.",
IF(AND(D115&lt;20, E115&lt;20), "Se presenta un déficit de fuerza resistencia de los gemelos en ambas piernas.",
"Se presenta buena fuerza resistencia de los gemelos alcanzando los valores de referencia.")))
</f>
        <v>Se presenta un déficit de fuerza resistencia de los gemelos en ambas piernas.</v>
      </c>
      <c r="C125" s="159"/>
      <c r="D125" s="159"/>
      <c r="E125" s="159"/>
      <c r="F125" s="159"/>
      <c r="G125" s="159"/>
      <c r="H125" s="159"/>
      <c r="I125" s="171"/>
      <c r="J125" s="49"/>
    </row>
    <row r="126">
      <c r="A126" s="49"/>
      <c r="B126" s="158" t="str">
        <f>IF(AND(D117&lt;20, E117&gt;=20), "Se presenta un déficit de fuerza resistencia de cuádriceps de la pierna derecha.",
IF(AND(D117&gt;=20, E117&lt;20), "Se presenta un déficit de fuerza resistencia de cuádriceps de la pierna izquierda.",
IF(AND(D117&lt;20, E117&lt;20), "Se presenta un déficit de fuerza resistencia del cuádriceps en ambas piernas.",
"Se presenta buena fuerza resistencia del cuádriceps alcanzando los valores de referencia.")))
</f>
        <v>Se presenta un déficit de fuerza resistencia del cuádriceps en ambas piernas.</v>
      </c>
      <c r="C126" s="159"/>
      <c r="D126" s="159"/>
      <c r="E126" s="159"/>
      <c r="F126" s="159"/>
      <c r="G126" s="159"/>
      <c r="H126" s="159"/>
      <c r="I126" s="171"/>
      <c r="J126" s="49"/>
    </row>
    <row r="127">
      <c r="A127" s="49"/>
      <c r="B127" s="151" t="s">
        <v>295</v>
      </c>
      <c r="C127" s="93"/>
      <c r="D127" s="93"/>
      <c r="E127" s="93"/>
      <c r="F127" s="93"/>
      <c r="G127" s="93"/>
      <c r="H127" s="93"/>
      <c r="I127" s="94"/>
      <c r="J127" s="49"/>
    </row>
    <row r="128">
      <c r="A128" s="49"/>
      <c r="B128" s="113" t="s">
        <v>278</v>
      </c>
      <c r="C128" s="8" t="s">
        <v>203</v>
      </c>
      <c r="D128" s="8" t="s">
        <v>204</v>
      </c>
      <c r="E128" s="8" t="s">
        <v>205</v>
      </c>
      <c r="F128" s="141" t="s">
        <v>279</v>
      </c>
      <c r="J128" s="49"/>
    </row>
    <row r="129">
      <c r="A129" s="49"/>
      <c r="B129" s="30" t="s">
        <v>296</v>
      </c>
      <c r="C129" s="39" t="s">
        <v>85</v>
      </c>
      <c r="D129" s="8" t="str">
        <f>'A completar'!C118</f>
        <v/>
      </c>
      <c r="E129" s="8" t="str">
        <f>'A completar'!C119</f>
        <v/>
      </c>
      <c r="F129" s="156" t="str">
        <f>(D129*100)/E129</f>
        <v>#DIV/0!</v>
      </c>
      <c r="J129" s="49"/>
    </row>
    <row r="130">
      <c r="A130" s="49"/>
      <c r="B130" s="35"/>
      <c r="C130" s="39" t="s">
        <v>297</v>
      </c>
      <c r="D130" s="169" t="str">
        <f>'A completar'!C120</f>
        <v/>
      </c>
      <c r="E130" s="169" t="str">
        <f>'A completar'!C121</f>
        <v/>
      </c>
      <c r="F130" s="167" t="s">
        <v>57</v>
      </c>
      <c r="J130" s="49"/>
    </row>
    <row r="131">
      <c r="A131" s="49"/>
      <c r="B131" s="35"/>
      <c r="C131" s="39" t="s">
        <v>87</v>
      </c>
      <c r="D131" s="157" t="str">
        <f>'A completar'!C122</f>
        <v/>
      </c>
      <c r="E131" s="2"/>
      <c r="F131" s="167" t="s">
        <v>57</v>
      </c>
      <c r="J131" s="49"/>
    </row>
    <row r="132">
      <c r="A132" s="49"/>
      <c r="B132" s="31"/>
      <c r="C132" s="39" t="s">
        <v>298</v>
      </c>
      <c r="D132" s="169" t="str">
        <f>'A completar'!C123</f>
        <v/>
      </c>
      <c r="E132" s="79"/>
      <c r="F132" s="167" t="s">
        <v>57</v>
      </c>
      <c r="J132" s="49"/>
    </row>
    <row r="133">
      <c r="A133" s="49"/>
      <c r="B133" s="30" t="s">
        <v>299</v>
      </c>
      <c r="C133" s="39" t="s">
        <v>90</v>
      </c>
      <c r="D133" s="157" t="str">
        <f>'A completar'!C124</f>
        <v/>
      </c>
      <c r="E133" s="2"/>
      <c r="F133" s="167" t="s">
        <v>57</v>
      </c>
      <c r="J133" s="49"/>
    </row>
    <row r="134">
      <c r="A134" s="49"/>
      <c r="B134" s="31"/>
      <c r="C134" s="37" t="s">
        <v>300</v>
      </c>
      <c r="D134" s="169" t="str">
        <f>'A completar'!C125</f>
        <v/>
      </c>
      <c r="E134" s="79"/>
      <c r="F134" s="167" t="s">
        <v>57</v>
      </c>
      <c r="J134" s="49"/>
    </row>
    <row r="135">
      <c r="A135" s="49"/>
      <c r="B135" s="163" t="s">
        <v>212</v>
      </c>
      <c r="C135" s="79"/>
      <c r="D135" s="79"/>
      <c r="E135" s="79"/>
      <c r="F135" s="79"/>
      <c r="G135" s="79"/>
      <c r="H135" s="79"/>
      <c r="I135" s="80"/>
      <c r="J135" s="49"/>
    </row>
    <row r="136">
      <c r="A136" s="49"/>
      <c r="B136" s="132" t="str">
        <f>IF(AND(F128&gt;=90,F128&lt;=110),
"Se presenta una correcta simetría de fuerza resistencia en el ejercicio press de hombro",
"Se presenta una asimetría de fuerza resistencia en el ejercicio press de hombro")
</f>
        <v>Se presenta una asimetría de fuerza resistencia en el ejercicio press de hombro</v>
      </c>
      <c r="I136" s="103"/>
      <c r="J136" s="49"/>
    </row>
    <row r="137">
      <c r="A137" s="49"/>
      <c r="B137" s="172" t="s">
        <v>301</v>
      </c>
      <c r="C137" s="93"/>
      <c r="D137" s="93"/>
      <c r="E137" s="93"/>
      <c r="F137" s="93"/>
      <c r="G137" s="93"/>
      <c r="H137" s="93"/>
      <c r="I137" s="94"/>
      <c r="J137" s="49"/>
    </row>
    <row r="138">
      <c r="A138" s="49"/>
      <c r="B138" s="95" t="s">
        <v>302</v>
      </c>
      <c r="C138" s="5" t="s">
        <v>204</v>
      </c>
      <c r="D138" s="5" t="s">
        <v>205</v>
      </c>
      <c r="E138" s="173" t="s">
        <v>303</v>
      </c>
      <c r="F138" s="173" t="s">
        <v>304</v>
      </c>
      <c r="G138" s="174" t="s">
        <v>206</v>
      </c>
      <c r="H138" s="5" t="s">
        <v>279</v>
      </c>
      <c r="I138" s="175" t="s">
        <v>206</v>
      </c>
      <c r="J138" s="49"/>
    </row>
    <row r="139">
      <c r="A139" s="49"/>
      <c r="B139" s="149" t="s">
        <v>305</v>
      </c>
      <c r="C139" s="176" t="str">
        <f>'A completar'!C126</f>
        <v/>
      </c>
      <c r="D139" s="176" t="str">
        <f>'A completar'!C127</f>
        <v/>
      </c>
      <c r="E139" s="168" t="str">
        <f>C139/I9</f>
        <v>#DIV/0!</v>
      </c>
      <c r="F139" s="2"/>
      <c r="G139" s="157" t="s">
        <v>57</v>
      </c>
      <c r="H139" s="177" t="str">
        <f>(C139*100)/D139</f>
        <v>#DIV/0!</v>
      </c>
      <c r="I139" s="175" t="s">
        <v>306</v>
      </c>
      <c r="J139" s="49"/>
    </row>
    <row r="140">
      <c r="A140" s="49"/>
      <c r="B140" s="149" t="s">
        <v>307</v>
      </c>
      <c r="C140" s="169" t="str">
        <f>'A completar'!C128</f>
        <v/>
      </c>
      <c r="D140" s="16" t="str">
        <f>'A completar'!C129</f>
        <v/>
      </c>
      <c r="E140" s="178"/>
      <c r="F140" s="79"/>
      <c r="G140" s="79"/>
      <c r="H140" s="79"/>
      <c r="I140" s="80"/>
      <c r="J140" s="49"/>
    </row>
    <row r="141">
      <c r="A141" s="49"/>
      <c r="B141" s="149" t="s">
        <v>308</v>
      </c>
      <c r="C141" s="176" t="str">
        <f>'A completar'!C130</f>
        <v/>
      </c>
      <c r="D141" s="176" t="str">
        <f>'A completar'!C131</f>
        <v/>
      </c>
      <c r="E141" s="168" t="str">
        <f>C141/I9</f>
        <v>#DIV/0!</v>
      </c>
      <c r="F141" s="2"/>
      <c r="G141" s="157" t="s">
        <v>57</v>
      </c>
      <c r="H141" s="177" t="str">
        <f>(C141*100)/D141</f>
        <v>#DIV/0!</v>
      </c>
      <c r="I141" s="175" t="s">
        <v>306</v>
      </c>
      <c r="J141" s="49"/>
    </row>
    <row r="142">
      <c r="A142" s="49"/>
      <c r="B142" s="149" t="s">
        <v>309</v>
      </c>
      <c r="C142" s="169" t="str">
        <f>'A completar'!C132</f>
        <v/>
      </c>
      <c r="D142" s="16" t="str">
        <f>'A completar'!C133</f>
        <v/>
      </c>
      <c r="E142" s="178"/>
      <c r="F142" s="79"/>
      <c r="G142" s="79"/>
      <c r="H142" s="79"/>
      <c r="I142" s="80"/>
      <c r="J142" s="49"/>
    </row>
    <row r="143">
      <c r="A143" s="49"/>
      <c r="B143" s="149" t="s">
        <v>95</v>
      </c>
      <c r="C143" s="71" t="str">
        <f>'A completar'!C134</f>
        <v/>
      </c>
      <c r="D143" s="2"/>
      <c r="E143" s="179" t="str">
        <f>C143/I9</f>
        <v>#DIV/0!</v>
      </c>
      <c r="F143" s="131"/>
      <c r="G143" s="157">
        <v>3.6</v>
      </c>
      <c r="H143" s="180" t="s">
        <v>57</v>
      </c>
      <c r="I143" s="175" t="s">
        <v>306</v>
      </c>
      <c r="J143" s="49"/>
    </row>
    <row r="144">
      <c r="A144" s="49"/>
      <c r="B144" s="149" t="s">
        <v>310</v>
      </c>
      <c r="C144" s="169" t="str">
        <f>'A completar'!C135</f>
        <v/>
      </c>
      <c r="D144" s="2"/>
      <c r="E144" s="178"/>
      <c r="F144" s="79"/>
      <c r="G144" s="79"/>
      <c r="H144" s="79"/>
      <c r="I144" s="80"/>
      <c r="J144" s="49"/>
    </row>
    <row r="145">
      <c r="A145" s="49"/>
      <c r="B145" s="149" t="s">
        <v>311</v>
      </c>
      <c r="C145" s="176" t="str">
        <f>'A completar'!C136</f>
        <v/>
      </c>
      <c r="D145" s="176" t="str">
        <f>'A completar'!C137</f>
        <v/>
      </c>
      <c r="E145" s="181" t="str">
        <f>C145/I9</f>
        <v>#DIV/0!</v>
      </c>
      <c r="F145" s="181" t="str">
        <f>D145/I9</f>
        <v>#DIV/0!</v>
      </c>
      <c r="G145" s="8">
        <v>2.99</v>
      </c>
      <c r="H145" s="177" t="str">
        <f>(C145*100)/D145</f>
        <v>#DIV/0!</v>
      </c>
      <c r="I145" s="182">
        <v>0.9</v>
      </c>
      <c r="J145" s="49"/>
    </row>
    <row r="146">
      <c r="A146" s="49"/>
      <c r="B146" s="183" t="s">
        <v>312</v>
      </c>
      <c r="C146" s="16" t="str">
        <f>'A completar'!C138</f>
        <v/>
      </c>
      <c r="D146" s="16" t="str">
        <f>'A completar'!C139</f>
        <v/>
      </c>
      <c r="E146" s="178"/>
      <c r="F146" s="79"/>
      <c r="G146" s="79"/>
      <c r="H146" s="79"/>
      <c r="I146" s="80"/>
      <c r="J146" s="49"/>
    </row>
    <row r="147">
      <c r="A147" s="49"/>
      <c r="B147" s="149" t="s">
        <v>313</v>
      </c>
      <c r="C147" s="184" t="str">
        <f>'A completar'!C140</f>
        <v/>
      </c>
      <c r="D147" s="184" t="str">
        <f>'A completar'!C141</f>
        <v/>
      </c>
      <c r="E147" s="181" t="str">
        <f>C147/I9</f>
        <v>#DIV/0!</v>
      </c>
      <c r="F147" s="181" t="str">
        <f>D147/I9</f>
        <v>#DIV/0!</v>
      </c>
      <c r="G147" s="8">
        <v>2.59</v>
      </c>
      <c r="H147" s="177" t="str">
        <f>(C147*100)/D147</f>
        <v>#DIV/0!</v>
      </c>
      <c r="I147" s="182">
        <v>0.9</v>
      </c>
      <c r="J147" s="49"/>
    </row>
    <row r="148">
      <c r="A148" s="49"/>
      <c r="B148" s="149" t="s">
        <v>314</v>
      </c>
      <c r="C148" s="16" t="str">
        <f>'A completar'!C142</f>
        <v/>
      </c>
      <c r="D148" s="16" t="str">
        <f>'A completar'!C143</f>
        <v/>
      </c>
      <c r="E148" s="178"/>
      <c r="F148" s="79"/>
      <c r="G148" s="79"/>
      <c r="H148" s="79"/>
      <c r="I148" s="80"/>
      <c r="J148" s="49"/>
    </row>
    <row r="149">
      <c r="A149" s="49"/>
      <c r="B149" s="111" t="s">
        <v>315</v>
      </c>
      <c r="C149" s="181" t="str">
        <f t="shared" ref="C149:D149" si="7">C145/C147</f>
        <v>#DIV/0!</v>
      </c>
      <c r="D149" s="181" t="str">
        <f t="shared" si="7"/>
        <v>#DIV/0!</v>
      </c>
      <c r="E149" s="5" t="s">
        <v>57</v>
      </c>
      <c r="F149" s="5" t="s">
        <v>57</v>
      </c>
      <c r="G149" s="5" t="s">
        <v>57</v>
      </c>
      <c r="H149" s="181" t="s">
        <v>57</v>
      </c>
      <c r="I149" s="185">
        <v>1.17</v>
      </c>
      <c r="J149" s="49"/>
    </row>
    <row r="150">
      <c r="A150" s="49"/>
      <c r="B150" s="107" t="s">
        <v>212</v>
      </c>
      <c r="C150" s="79"/>
      <c r="D150" s="79"/>
      <c r="E150" s="79"/>
      <c r="F150" s="79"/>
      <c r="G150" s="79"/>
      <c r="H150" s="79"/>
      <c r="I150" s="80"/>
      <c r="J150" s="49"/>
    </row>
    <row r="151">
      <c r="A151" s="49"/>
      <c r="B151" s="132" t="str">
        <f>IF(AND(H139&gt;=90,H139&lt;=110),
"Se presenta una correcta simetría de fuerza muscular de flexores de cadera en la prueba de 0-0º.",
"Se presenta una asimetría de de flexores de cadera en la prueba de 0-0º.")
</f>
        <v>#DIV/0!</v>
      </c>
      <c r="I151" s="103"/>
      <c r="J151" s="49"/>
    </row>
    <row r="152">
      <c r="A152" s="49"/>
      <c r="B152" s="132" t="str">
        <f>IF(AND(H141&gt;=90,H141&lt;=110),
"Se presenta una correcta simetría de fuerza muscular de flexores de cadera en la prueba de 0-90º.",
"Se presenta una asimetría de de flexores de cadera en la prueba de 0-90º.")
</f>
        <v>#DIV/0!</v>
      </c>
      <c r="I152" s="103"/>
      <c r="J152" s="49"/>
    </row>
    <row r="153">
      <c r="A153" s="49"/>
      <c r="B153" s="132" t="str">
        <f>IF(E143&lt;3.6,
"Los valores de fuerza muscular de aductores en el Squeeze test están por debajo de los valores de referencia.",
"Los valores de fuerza muscular de aductores en el Squeeze test alcanzan los valores de referencia.")
</f>
        <v>#DIV/0!</v>
      </c>
      <c r="I153" s="103"/>
      <c r="J153" s="49"/>
    </row>
    <row r="154">
      <c r="A154" s="49"/>
      <c r="B154" s="132" t="str">
        <f>IF(AND(H145&gt;=90,H145&lt;=110),
"Se presenta una correcta simetría de fuerza muscular de aductores.",
"Se presenta una asimetría de fuerza muscular de aductores.")
</f>
        <v>#DIV/0!</v>
      </c>
      <c r="I154" s="103"/>
      <c r="J154" s="49"/>
    </row>
    <row r="155">
      <c r="A155" s="49"/>
      <c r="B155" s="132" t="str">
        <f>IF(AND(E145&gt;=2.99,F145&gt;=2.99),
"Los valores de fuerza muscular unilateral de aductores alcanzan los valores de referencia.",
IF(AND(E145&lt;2.99,E146&gt;=2.99),
"Los valores de fuerza muscular unilateral de aductores del lado derecho están por debajo de los valores de referencia.",
IF(AND(E145&gt;=2.99,E146&lt;2.99),
"Los valores de fuerza muscular unilateral de aductores del lado izquierdo están por debajo de los valores de referencia.",
"Los valores de fuerza muscular unilateral de aductores de ambos lados están por debajo de los valores de referencia.")))
</f>
        <v>#DIV/0!</v>
      </c>
      <c r="I155" s="103"/>
      <c r="J155" s="49"/>
    </row>
    <row r="156">
      <c r="A156" s="49"/>
      <c r="B156" s="132" t="str">
        <f>IF(AND(H147&gt;=90,H147&lt;=110),
"Se presenta una correcta simetría de fuerza muscular de abductores.",
"Se presenta una asimetría de fuerza muscular de abductores.")
</f>
        <v>#DIV/0!</v>
      </c>
      <c r="I156" s="103"/>
      <c r="J156" s="49"/>
    </row>
    <row r="157">
      <c r="A157" s="49"/>
      <c r="B157" s="132" t="str">
        <f>IF(AND(E147&gt;=2.59,F147&gt;=2.59),
"Los valores de fuerza muscular unilateral de aductores alcanzan los valores de referencia.",
IF(AND(E147&lt;2.99,E148&gt;=2.99),
"Los valores de fuerza muscular unilateral de aductores del lado derecho están por debajo de los valores de referencia.",
IF(AND(E147&gt;=2.99,E148&lt;2.99),
"Los valores de fuerza muscular unilateral de aductores del lado izquierdo están por debajo de los valores de referencia.",
"Los valores de fuerza muscular unilateral de aductores de ambos lados están por debajo de los valores de referencia.")))
</f>
        <v>#DIV/0!</v>
      </c>
      <c r="I157" s="103"/>
      <c r="J157" s="49"/>
    </row>
    <row r="158">
      <c r="A158" s="49"/>
      <c r="B158" s="158" t="str">
        <f>IF(AND(C149&gt;=1.16,C149&lt;=1.18),
"La relación aductores - abductores de la pierna derecha se encuentra normal.",
"La relación aductores - abductores de la pierna derecha se encuentra alterada.")
</f>
        <v>#DIV/0!</v>
      </c>
      <c r="I158" s="60"/>
      <c r="J158" s="49"/>
    </row>
    <row r="159">
      <c r="A159" s="49"/>
      <c r="B159" s="158" t="str">
        <f>IF(AND(D149&gt;=1.16,D149&lt;=1.18),
"La relación aductores - abductores de la pierna izquierda se encuentra normal.",
"La relación aductores - abductores de la pierna izquierda se encuentra alterada.")
</f>
        <v>#DIV/0!</v>
      </c>
      <c r="I159" s="60"/>
      <c r="J159" s="49"/>
    </row>
    <row r="160">
      <c r="A160" s="49"/>
      <c r="B160" s="151" t="s">
        <v>316</v>
      </c>
      <c r="C160" s="93"/>
      <c r="D160" s="93"/>
      <c r="E160" s="93"/>
      <c r="F160" s="93"/>
      <c r="G160" s="93"/>
      <c r="H160" s="93"/>
      <c r="I160" s="94"/>
      <c r="J160" s="49"/>
    </row>
    <row r="161">
      <c r="A161" s="49"/>
      <c r="B161" s="186" t="s">
        <v>317</v>
      </c>
      <c r="C161" s="5" t="s">
        <v>204</v>
      </c>
      <c r="D161" s="5" t="s">
        <v>205</v>
      </c>
      <c r="E161" s="173" t="s">
        <v>303</v>
      </c>
      <c r="F161" s="173" t="s">
        <v>304</v>
      </c>
      <c r="G161" s="174" t="s">
        <v>206</v>
      </c>
      <c r="H161" s="187" t="s">
        <v>279</v>
      </c>
      <c r="I161" s="188" t="s">
        <v>206</v>
      </c>
      <c r="J161" s="49"/>
    </row>
    <row r="162">
      <c r="A162" s="49"/>
      <c r="B162" s="189" t="s">
        <v>318</v>
      </c>
      <c r="C162" s="109" t="str">
        <f>'A completar'!C144</f>
        <v/>
      </c>
      <c r="D162" s="109" t="str">
        <f>'A completar'!C145</f>
        <v/>
      </c>
      <c r="E162" s="181" t="str">
        <f>C162/I9</f>
        <v>#DIV/0!</v>
      </c>
      <c r="F162" s="181" t="str">
        <f>D162/I9</f>
        <v>#DIV/0!</v>
      </c>
      <c r="G162" s="8" t="s">
        <v>57</v>
      </c>
      <c r="H162" s="156" t="str">
        <f>(C162*100)/D162</f>
        <v>#DIV/0!</v>
      </c>
      <c r="I162" s="190">
        <v>0.9</v>
      </c>
      <c r="J162" s="49"/>
    </row>
    <row r="163">
      <c r="A163" s="49"/>
      <c r="B163" s="183" t="s">
        <v>319</v>
      </c>
      <c r="C163" s="16" t="str">
        <f>'A completar'!C146</f>
        <v/>
      </c>
      <c r="D163" s="16" t="str">
        <f>'A completar'!C147</f>
        <v/>
      </c>
      <c r="E163" s="178"/>
      <c r="F163" s="79"/>
      <c r="G163" s="79"/>
      <c r="H163" s="79"/>
      <c r="I163" s="80"/>
      <c r="J163" s="49"/>
    </row>
    <row r="164">
      <c r="A164" s="49"/>
      <c r="B164" s="111" t="s">
        <v>320</v>
      </c>
      <c r="C164" s="109" t="str">
        <f>'A completar'!C148</f>
        <v/>
      </c>
      <c r="D164" s="109" t="str">
        <f>'A completar'!C149</f>
        <v/>
      </c>
      <c r="E164" s="181" t="str">
        <f>C164/I9</f>
        <v>#DIV/0!</v>
      </c>
      <c r="F164" s="181" t="str">
        <f>D164/I9</f>
        <v>#DIV/0!</v>
      </c>
      <c r="G164" s="8" t="s">
        <v>57</v>
      </c>
      <c r="H164" s="156" t="str">
        <f>(C164*100)/D164</f>
        <v>#DIV/0!</v>
      </c>
      <c r="I164" s="190">
        <v>0.9</v>
      </c>
      <c r="J164" s="49"/>
    </row>
    <row r="165">
      <c r="A165" s="49"/>
      <c r="B165" s="149" t="s">
        <v>321</v>
      </c>
      <c r="C165" s="16" t="str">
        <f>'A completar'!C150</f>
        <v/>
      </c>
      <c r="D165" s="16" t="str">
        <f>'A completar'!C151</f>
        <v/>
      </c>
      <c r="E165" s="178"/>
      <c r="F165" s="79"/>
      <c r="G165" s="79"/>
      <c r="H165" s="79"/>
      <c r="I165" s="80"/>
      <c r="J165" s="49"/>
    </row>
    <row r="166">
      <c r="A166" s="49"/>
      <c r="B166" s="183" t="s">
        <v>322</v>
      </c>
      <c r="C166" s="109" t="str">
        <f t="shared" ref="C166:D166" si="8">C164/C162</f>
        <v>#DIV/0!</v>
      </c>
      <c r="D166" s="109" t="str">
        <f t="shared" si="8"/>
        <v>#DIV/0!</v>
      </c>
      <c r="E166" s="178"/>
      <c r="F166" s="79"/>
      <c r="G166" s="79"/>
      <c r="H166" s="79"/>
      <c r="I166" s="80"/>
      <c r="J166" s="49"/>
    </row>
    <row r="167">
      <c r="A167" s="49"/>
      <c r="B167" s="118" t="s">
        <v>212</v>
      </c>
      <c r="C167" s="79"/>
      <c r="D167" s="79"/>
      <c r="E167" s="79"/>
      <c r="F167" s="79"/>
      <c r="G167" s="79"/>
      <c r="H167" s="79"/>
      <c r="I167" s="80"/>
      <c r="J167" s="49"/>
    </row>
    <row r="168">
      <c r="A168" s="49"/>
      <c r="B168" s="132" t="str">
        <f>IF(AND(H162&gt;=90,H162&lt;=110),
"Se presenta una correcta simetría de fuerza muscular de cuádriceps.",
"Se presenta una asimetría de fuerza muscular de cuádriceps.")
</f>
        <v>#DIV/0!</v>
      </c>
      <c r="I168" s="103"/>
      <c r="J168" s="49"/>
    </row>
    <row r="169">
      <c r="A169" s="49"/>
      <c r="B169" s="132" t="str">
        <f>IF(AND(H164&gt;=90,H164&lt;=110),
"Se presenta una correcta simetría de fuerza muscular de isquiotibiales.",
"Se presenta una asimetría de fuerza muscular de isquiotibiales.")
</f>
        <v>#DIV/0!</v>
      </c>
      <c r="I169" s="103"/>
      <c r="J169" s="49"/>
    </row>
    <row r="170">
      <c r="A170" s="49"/>
      <c r="B170" s="151" t="s">
        <v>323</v>
      </c>
      <c r="C170" s="93"/>
      <c r="D170" s="93"/>
      <c r="E170" s="93"/>
      <c r="F170" s="93"/>
      <c r="G170" s="93"/>
      <c r="H170" s="93"/>
      <c r="I170" s="94"/>
      <c r="J170" s="49"/>
    </row>
    <row r="171">
      <c r="A171" s="49"/>
      <c r="B171" s="186" t="s">
        <v>317</v>
      </c>
      <c r="C171" s="5" t="s">
        <v>204</v>
      </c>
      <c r="D171" s="5" t="s">
        <v>205</v>
      </c>
      <c r="E171" s="173" t="s">
        <v>303</v>
      </c>
      <c r="F171" s="173" t="s">
        <v>304</v>
      </c>
      <c r="G171" s="174" t="s">
        <v>206</v>
      </c>
      <c r="H171" s="187" t="s">
        <v>279</v>
      </c>
      <c r="I171" s="188" t="s">
        <v>206</v>
      </c>
      <c r="J171" s="49"/>
    </row>
    <row r="172">
      <c r="A172" s="49"/>
      <c r="B172" s="111" t="s">
        <v>324</v>
      </c>
      <c r="C172" s="16" t="str">
        <f>'A completar'!C152</f>
        <v/>
      </c>
      <c r="D172" s="16" t="str">
        <f>'A completar'!C153</f>
        <v/>
      </c>
      <c r="E172" s="181" t="str">
        <f>C172/I9</f>
        <v>#DIV/0!</v>
      </c>
      <c r="F172" s="181" t="str">
        <f>D172/I9</f>
        <v>#DIV/0!</v>
      </c>
      <c r="G172" s="191"/>
      <c r="H172" s="156" t="str">
        <f>(C172*100)/D172</f>
        <v>#DIV/0!</v>
      </c>
      <c r="I172" s="190">
        <v>0.9</v>
      </c>
      <c r="J172" s="49"/>
    </row>
    <row r="173">
      <c r="A173" s="49"/>
      <c r="B173" s="183" t="s">
        <v>325</v>
      </c>
      <c r="C173" s="16" t="str">
        <f>'A completar'!C154</f>
        <v/>
      </c>
      <c r="D173" s="16" t="str">
        <f>'A completar'!C155</f>
        <v/>
      </c>
      <c r="E173" s="178"/>
      <c r="F173" s="79"/>
      <c r="G173" s="79"/>
      <c r="H173" s="79"/>
      <c r="I173" s="80"/>
      <c r="J173" s="49"/>
    </row>
    <row r="174">
      <c r="A174" s="49"/>
      <c r="B174" s="111" t="s">
        <v>326</v>
      </c>
      <c r="C174" s="109" t="str">
        <f>'A completar'!C156</f>
        <v/>
      </c>
      <c r="D174" s="109" t="str">
        <f>'A completar'!C157</f>
        <v/>
      </c>
      <c r="E174" s="181" t="str">
        <f>C174/I9</f>
        <v>#DIV/0!</v>
      </c>
      <c r="F174" s="181" t="str">
        <f>D174/I9</f>
        <v>#DIV/0!</v>
      </c>
      <c r="G174" s="119"/>
      <c r="H174" s="156" t="str">
        <f>(C174*100)/D174</f>
        <v>#DIV/0!</v>
      </c>
      <c r="I174" s="190">
        <v>0.9</v>
      </c>
      <c r="J174" s="49"/>
    </row>
    <row r="175">
      <c r="A175" s="49"/>
      <c r="B175" s="183" t="s">
        <v>314</v>
      </c>
      <c r="C175" s="16" t="str">
        <f>'A completar'!C158</f>
        <v/>
      </c>
      <c r="D175" s="16" t="str">
        <f>'A completar'!C159</f>
        <v/>
      </c>
      <c r="E175" s="178"/>
      <c r="F175" s="79"/>
      <c r="G175" s="79"/>
      <c r="H175" s="79"/>
      <c r="I175" s="80"/>
      <c r="J175" s="49"/>
    </row>
    <row r="176">
      <c r="A176" s="49"/>
      <c r="B176" s="111" t="s">
        <v>327</v>
      </c>
      <c r="C176" s="109" t="str">
        <f>'A completar'!C160</f>
        <v/>
      </c>
      <c r="D176" s="109" t="str">
        <f>'A completar'!C161</f>
        <v/>
      </c>
      <c r="E176" s="181" t="str">
        <f>C176/I9</f>
        <v>#DIV/0!</v>
      </c>
      <c r="F176" s="181" t="str">
        <f>D176/I9</f>
        <v>#DIV/0!</v>
      </c>
      <c r="G176" s="119"/>
      <c r="H176" s="156" t="str">
        <f>(C176*100)/D176</f>
        <v>#DIV/0!</v>
      </c>
      <c r="I176" s="190">
        <v>0.9</v>
      </c>
      <c r="J176" s="49"/>
    </row>
    <row r="177">
      <c r="A177" s="49"/>
      <c r="B177" s="183" t="s">
        <v>312</v>
      </c>
      <c r="C177" s="16" t="str">
        <f>'A completar'!C162</f>
        <v/>
      </c>
      <c r="D177" s="16" t="str">
        <f>'A completar'!C163</f>
        <v/>
      </c>
      <c r="E177" s="178"/>
      <c r="F177" s="79"/>
      <c r="G177" s="79"/>
      <c r="H177" s="79"/>
      <c r="I177" s="80"/>
      <c r="J177" s="49"/>
    </row>
    <row r="178">
      <c r="A178" s="49"/>
      <c r="B178" s="111" t="s">
        <v>328</v>
      </c>
      <c r="C178" s="181" t="str">
        <f t="shared" ref="C178:D178" si="9">C176/C174</f>
        <v>#DIV/0!</v>
      </c>
      <c r="D178" s="181" t="str">
        <f t="shared" si="9"/>
        <v>#DIV/0!</v>
      </c>
      <c r="E178" s="181" t="s">
        <v>57</v>
      </c>
      <c r="F178" s="181" t="s">
        <v>57</v>
      </c>
      <c r="G178" s="181" t="s">
        <v>57</v>
      </c>
      <c r="H178" s="109" t="s">
        <v>57</v>
      </c>
      <c r="I178" s="192"/>
      <c r="J178" s="49"/>
    </row>
    <row r="179">
      <c r="A179" s="49"/>
      <c r="B179" s="118" t="s">
        <v>212</v>
      </c>
      <c r="C179" s="79"/>
      <c r="D179" s="79"/>
      <c r="E179" s="79"/>
      <c r="F179" s="79"/>
      <c r="G179" s="79"/>
      <c r="H179" s="79"/>
      <c r="I179" s="80"/>
      <c r="J179" s="49"/>
    </row>
    <row r="180">
      <c r="A180" s="49"/>
      <c r="B180" s="132" t="str">
        <f>IF(AND(H172&gt;=90,H172&lt;=110),
"Se presenta una correcta simetría de fuerza muscular del tríceps sural.",
"Se presenta una asimetría de fuerza muscular del tríceps sural.")
</f>
        <v>#DIV/0!</v>
      </c>
      <c r="I180" s="103"/>
      <c r="J180" s="49"/>
    </row>
    <row r="181">
      <c r="A181" s="49"/>
      <c r="B181" s="132" t="str">
        <f>IF(AND(H174&gt;=90,H174&lt;=110),
"Se presenta una correcta simetría de fuerza muscular de abductores de tobillo.",
"Se presenta una asimetría de fuerza muscular de abductores de tobillo.")
</f>
        <v>#DIV/0!</v>
      </c>
      <c r="I181" s="103"/>
      <c r="J181" s="49"/>
    </row>
    <row r="182">
      <c r="A182" s="49"/>
      <c r="B182" s="132" t="str">
        <f>IF(AND(H176&gt;=90,H176&lt;=110),
"Se presenta una correcta simetría de fuerza muscular de aductores de tobillo.",
"Se presenta una asimetría de fuerza muscular de aductores de tobillo.")
</f>
        <v>#DIV/0!</v>
      </c>
      <c r="I182" s="103"/>
      <c r="J182" s="49"/>
    </row>
    <row r="183">
      <c r="A183" s="49"/>
      <c r="B183" s="172" t="s">
        <v>329</v>
      </c>
      <c r="C183" s="93"/>
      <c r="D183" s="93"/>
      <c r="E183" s="93"/>
      <c r="F183" s="93"/>
      <c r="G183" s="93"/>
      <c r="H183" s="93"/>
      <c r="I183" s="94"/>
      <c r="J183" s="49"/>
    </row>
    <row r="184">
      <c r="A184" s="49"/>
      <c r="B184" s="193" t="s">
        <v>232</v>
      </c>
      <c r="C184" s="141" t="s">
        <v>330</v>
      </c>
      <c r="D184" s="141" t="s">
        <v>204</v>
      </c>
      <c r="E184" s="141" t="s">
        <v>205</v>
      </c>
      <c r="F184" s="141" t="s">
        <v>279</v>
      </c>
      <c r="G184" s="141" t="s">
        <v>206</v>
      </c>
      <c r="H184" s="159"/>
      <c r="I184" s="171"/>
      <c r="J184" s="49"/>
    </row>
    <row r="185">
      <c r="A185" s="49"/>
      <c r="B185" s="161" t="s">
        <v>111</v>
      </c>
      <c r="C185" s="8" t="s">
        <v>331</v>
      </c>
      <c r="D185" s="153" t="str">
        <f>'A completar'!C164</f>
        <v/>
      </c>
      <c r="E185" s="2"/>
      <c r="F185" s="141" t="s">
        <v>57</v>
      </c>
      <c r="G185" s="141" t="s">
        <v>57</v>
      </c>
      <c r="H185" s="159"/>
      <c r="I185" s="171"/>
      <c r="J185" s="49"/>
    </row>
    <row r="186">
      <c r="A186" s="49"/>
      <c r="B186" s="35"/>
      <c r="C186" s="8" t="s">
        <v>332</v>
      </c>
      <c r="D186" s="168" t="str">
        <f>D185/I9</f>
        <v>#DIV/0!</v>
      </c>
      <c r="E186" s="2"/>
      <c r="F186" s="141" t="s">
        <v>57</v>
      </c>
      <c r="G186" s="8"/>
      <c r="H186" s="159"/>
      <c r="I186" s="171"/>
      <c r="J186" s="49"/>
    </row>
    <row r="187">
      <c r="A187" s="49"/>
      <c r="B187" s="31"/>
      <c r="C187" s="8" t="s">
        <v>333</v>
      </c>
      <c r="D187" s="141" t="str">
        <f>'A completar'!C165</f>
        <v/>
      </c>
      <c r="E187" s="141" t="str">
        <f>'A completar'!C166</f>
        <v/>
      </c>
      <c r="F187" s="194" t="str">
        <f>(D187*100)/E187</f>
        <v>#DIV/0!</v>
      </c>
      <c r="G187" s="195">
        <v>0.9</v>
      </c>
      <c r="H187" s="159"/>
      <c r="I187" s="171"/>
      <c r="J187" s="49"/>
    </row>
    <row r="188">
      <c r="A188" s="49"/>
      <c r="B188" s="163" t="s">
        <v>212</v>
      </c>
      <c r="C188" s="79"/>
      <c r="D188" s="79"/>
      <c r="E188" s="79"/>
      <c r="F188" s="79"/>
      <c r="G188" s="79"/>
      <c r="H188" s="79"/>
      <c r="I188" s="80"/>
      <c r="J188" s="49"/>
    </row>
    <row r="189">
      <c r="A189" s="49"/>
      <c r="B189" s="132" t="str">
        <f>IF(AND(F187&gt;=90,F187&lt;=110),
"Se presenta una correcta simetría de fuerza pico unilateral.",
"Se presenta una asimetría de fuerza pico unilateral.")
</f>
        <v>#DIV/0!</v>
      </c>
      <c r="I189" s="103"/>
      <c r="J189" s="49"/>
    </row>
    <row r="190">
      <c r="A190" s="49"/>
      <c r="B190" s="151" t="s">
        <v>334</v>
      </c>
      <c r="C190" s="93"/>
      <c r="D190" s="93"/>
      <c r="E190" s="93"/>
      <c r="F190" s="93"/>
      <c r="G190" s="93"/>
      <c r="H190" s="93"/>
      <c r="I190" s="94"/>
      <c r="J190" s="49"/>
    </row>
    <row r="191">
      <c r="A191" s="49"/>
      <c r="B191" s="186" t="s">
        <v>317</v>
      </c>
      <c r="C191" s="5" t="s">
        <v>204</v>
      </c>
      <c r="D191" s="5" t="s">
        <v>205</v>
      </c>
      <c r="E191" s="173" t="s">
        <v>303</v>
      </c>
      <c r="F191" s="173" t="s">
        <v>304</v>
      </c>
      <c r="G191" s="174" t="s">
        <v>206</v>
      </c>
      <c r="H191" s="187" t="s">
        <v>279</v>
      </c>
      <c r="I191" s="188" t="s">
        <v>206</v>
      </c>
      <c r="J191" s="49"/>
    </row>
    <row r="192">
      <c r="A192" s="49"/>
      <c r="B192" s="111" t="s">
        <v>335</v>
      </c>
      <c r="C192" s="109" t="str">
        <f>'A completar'!C167</f>
        <v/>
      </c>
      <c r="D192" s="109" t="str">
        <f>'A completar'!C168</f>
        <v/>
      </c>
      <c r="E192" s="181" t="str">
        <f>C192/I9</f>
        <v>#DIV/0!</v>
      </c>
      <c r="F192" s="181" t="str">
        <f>D192/I9</f>
        <v>#DIV/0!</v>
      </c>
      <c r="G192" s="157" t="s">
        <v>57</v>
      </c>
      <c r="H192" s="156" t="str">
        <f>(C192*100)/D192</f>
        <v>#DIV/0!</v>
      </c>
      <c r="I192" s="190">
        <v>0.9</v>
      </c>
      <c r="J192" s="49"/>
    </row>
    <row r="193">
      <c r="A193" s="49"/>
      <c r="B193" s="183" t="s">
        <v>336</v>
      </c>
      <c r="C193" s="16" t="str">
        <f>'A completar'!C169</f>
        <v/>
      </c>
      <c r="D193" s="16" t="str">
        <f>'A completar'!C170</f>
        <v/>
      </c>
      <c r="E193" s="178"/>
      <c r="F193" s="79"/>
      <c r="G193" s="79"/>
      <c r="H193" s="79"/>
      <c r="I193" s="80"/>
      <c r="J193" s="49"/>
    </row>
    <row r="194">
      <c r="A194" s="49"/>
      <c r="B194" s="111" t="s">
        <v>337</v>
      </c>
      <c r="C194" s="109" t="str">
        <f>'A completar'!C171</f>
        <v/>
      </c>
      <c r="D194" s="109" t="str">
        <f>'A completar'!C172</f>
        <v/>
      </c>
      <c r="E194" s="181" t="str">
        <f>C194/I9</f>
        <v>#DIV/0!</v>
      </c>
      <c r="F194" s="181" t="str">
        <f>D194/I9</f>
        <v>#DIV/0!</v>
      </c>
      <c r="G194" s="8" t="s">
        <v>57</v>
      </c>
      <c r="H194" s="156" t="str">
        <f>(C194*100)/D194</f>
        <v>#DIV/0!</v>
      </c>
      <c r="I194" s="190">
        <v>0.9</v>
      </c>
      <c r="J194" s="49"/>
    </row>
    <row r="195">
      <c r="A195" s="49"/>
      <c r="B195" s="183" t="s">
        <v>338</v>
      </c>
      <c r="C195" s="16" t="str">
        <f>'A completar'!C173</f>
        <v/>
      </c>
      <c r="D195" s="16" t="str">
        <f>'A completar'!C174</f>
        <v/>
      </c>
      <c r="E195" s="178"/>
      <c r="F195" s="79"/>
      <c r="G195" s="79"/>
      <c r="H195" s="79"/>
      <c r="I195" s="80"/>
      <c r="J195" s="49"/>
    </row>
    <row r="196">
      <c r="A196" s="49"/>
      <c r="B196" s="111" t="s">
        <v>339</v>
      </c>
      <c r="C196" s="181" t="str">
        <f t="shared" ref="C196:D196" si="10">C192/C194</f>
        <v>#DIV/0!</v>
      </c>
      <c r="D196" s="181" t="str">
        <f t="shared" si="10"/>
        <v>#DIV/0!</v>
      </c>
      <c r="E196" s="181" t="s">
        <v>57</v>
      </c>
      <c r="F196" s="181" t="s">
        <v>57</v>
      </c>
      <c r="G196" s="181" t="s">
        <v>57</v>
      </c>
      <c r="H196" s="109" t="s">
        <v>57</v>
      </c>
      <c r="I196" s="192"/>
      <c r="J196" s="49"/>
    </row>
    <row r="197">
      <c r="A197" s="49"/>
      <c r="B197" s="111" t="s">
        <v>340</v>
      </c>
      <c r="C197" s="109" t="str">
        <f>'A completar'!C175</f>
        <v/>
      </c>
      <c r="D197" s="109" t="str">
        <f>'A completar'!C176</f>
        <v/>
      </c>
      <c r="E197" s="181" t="str">
        <f>C197/I9</f>
        <v>#DIV/0!</v>
      </c>
      <c r="F197" s="181" t="str">
        <f>D197/I9</f>
        <v>#DIV/0!</v>
      </c>
      <c r="G197" s="157" t="s">
        <v>57</v>
      </c>
      <c r="H197" s="156" t="str">
        <f>(C197*100)/D197</f>
        <v>#DIV/0!</v>
      </c>
      <c r="I197" s="190">
        <v>0.9</v>
      </c>
      <c r="J197" s="49"/>
    </row>
    <row r="198">
      <c r="A198" s="49"/>
      <c r="B198" s="183" t="s">
        <v>341</v>
      </c>
      <c r="C198" s="16" t="str">
        <f>'A completar'!C177</f>
        <v/>
      </c>
      <c r="D198" s="16" t="str">
        <f>'A completar'!C178</f>
        <v/>
      </c>
      <c r="E198" s="178"/>
      <c r="F198" s="79"/>
      <c r="G198" s="79"/>
      <c r="H198" s="79"/>
      <c r="I198" s="80"/>
      <c r="J198" s="49"/>
    </row>
    <row r="199">
      <c r="A199" s="49"/>
      <c r="B199" s="111" t="s">
        <v>342</v>
      </c>
      <c r="C199" s="109" t="str">
        <f>'A completar'!C179</f>
        <v/>
      </c>
      <c r="D199" s="109" t="str">
        <f>'A completar'!C180</f>
        <v/>
      </c>
      <c r="E199" s="181" t="str">
        <f>C199/I9</f>
        <v>#DIV/0!</v>
      </c>
      <c r="F199" s="181" t="str">
        <f>D199/I9</f>
        <v>#DIV/0!</v>
      </c>
      <c r="G199" s="8" t="s">
        <v>57</v>
      </c>
      <c r="H199" s="156" t="str">
        <f>(C199*100)/D199</f>
        <v>#DIV/0!</v>
      </c>
      <c r="I199" s="190">
        <v>0.9</v>
      </c>
      <c r="J199" s="49"/>
    </row>
    <row r="200">
      <c r="A200" s="49"/>
      <c r="B200" s="183" t="s">
        <v>343</v>
      </c>
      <c r="C200" s="16" t="str">
        <f>'A completar'!C181</f>
        <v/>
      </c>
      <c r="D200" s="16" t="str">
        <f>'A completar'!C182</f>
        <v/>
      </c>
      <c r="E200" s="178"/>
      <c r="F200" s="79"/>
      <c r="G200" s="79"/>
      <c r="H200" s="79"/>
      <c r="I200" s="80"/>
      <c r="J200" s="49"/>
    </row>
    <row r="201">
      <c r="A201" s="49"/>
      <c r="B201" s="111" t="s">
        <v>344</v>
      </c>
      <c r="C201" s="109" t="str">
        <f>'A completar'!C183</f>
        <v/>
      </c>
      <c r="D201" s="109" t="str">
        <f>'A completar'!C184</f>
        <v/>
      </c>
      <c r="E201" s="181" t="str">
        <f>C201/I9</f>
        <v>#DIV/0!</v>
      </c>
      <c r="F201" s="181" t="str">
        <f>D201/I9</f>
        <v>#DIV/0!</v>
      </c>
      <c r="G201" s="8" t="s">
        <v>57</v>
      </c>
      <c r="H201" s="156" t="str">
        <f>(C201*100)/D201</f>
        <v>#DIV/0!</v>
      </c>
      <c r="I201" s="190">
        <v>0.9</v>
      </c>
      <c r="J201" s="49"/>
    </row>
    <row r="202">
      <c r="A202" s="49"/>
      <c r="B202" s="183" t="s">
        <v>345</v>
      </c>
      <c r="C202" s="16" t="str">
        <f>'A completar'!C185</f>
        <v/>
      </c>
      <c r="D202" s="16" t="str">
        <f>'A completar'!C186</f>
        <v/>
      </c>
      <c r="E202" s="178"/>
      <c r="F202" s="79"/>
      <c r="G202" s="79"/>
      <c r="H202" s="79"/>
      <c r="I202" s="80"/>
      <c r="J202" s="49"/>
    </row>
    <row r="203">
      <c r="A203" s="49"/>
      <c r="B203" s="118" t="s">
        <v>212</v>
      </c>
      <c r="C203" s="79"/>
      <c r="D203" s="79"/>
      <c r="E203" s="79"/>
      <c r="F203" s="79"/>
      <c r="G203" s="79"/>
      <c r="H203" s="79"/>
      <c r="I203" s="80"/>
      <c r="J203" s="49"/>
    </row>
    <row r="204">
      <c r="A204" s="49"/>
      <c r="B204" s="132" t="str">
        <f>IF(AND(H192&gt;=90,H192&lt;=110),
"Se presenta una correcta simetría de fuerza muscular de rotadores internos de hombro.",
"Se presenta una asimetría de fuerza muscular de rotadores internos de hombro.")
</f>
        <v>#DIV/0!</v>
      </c>
      <c r="I204" s="103"/>
      <c r="J204" s="49"/>
    </row>
    <row r="205">
      <c r="A205" s="49"/>
      <c r="B205" s="132" t="str">
        <f>IF(AND(H194&gt;=90,H194&lt;=110),
"Se presenta una correcta simetría de fuerza muscular de rotadores externos de hombro.",
"Se presenta una asimetría de fuerza muscular de rotadores externos de hombro.")
</f>
        <v>#DIV/0!</v>
      </c>
      <c r="I205" s="103"/>
      <c r="J205" s="49"/>
    </row>
    <row r="206">
      <c r="A206" s="49"/>
      <c r="B206" s="132" t="str">
        <f>IF(AND(H197&gt;=90,H197&lt;=110),
"Se presenta una correcta simetría de fuerza muscular en el Ash Test I.",
"Se presenta una asimetría de fuerza muscular en el Ash Test I.")
</f>
        <v>#DIV/0!</v>
      </c>
      <c r="I206" s="103"/>
      <c r="J206" s="49"/>
    </row>
    <row r="207">
      <c r="A207" s="49"/>
      <c r="B207" s="132" t="str">
        <f>IF(AND(H199&gt;=90,H199&lt;=110),
"Se presenta una correcta simetría de fuerza muscular en el Ash Test Y.",
"Se presenta una asimetría de fuerza muscular en el Ash Test Y.")
</f>
        <v>#DIV/0!</v>
      </c>
      <c r="I207" s="103"/>
      <c r="J207" s="49"/>
    </row>
    <row r="208">
      <c r="A208" s="49"/>
      <c r="B208" s="132" t="str">
        <f>IF(AND(H200&gt;=90,H200&lt;=110),
"Se presenta una correcta simetría de fuerza muscular en el Ash Test T.",
"Se presenta una asimetría de fuerza muscular en el Ash Test T.")
</f>
        <v>Se presenta una asimetría de fuerza muscular en el Ash Test T.</v>
      </c>
      <c r="I208" s="103"/>
      <c r="J208" s="49"/>
    </row>
    <row r="209">
      <c r="A209" s="49"/>
      <c r="B209" s="151" t="s">
        <v>346</v>
      </c>
      <c r="C209" s="93"/>
      <c r="D209" s="93"/>
      <c r="E209" s="93"/>
      <c r="F209" s="93"/>
      <c r="G209" s="93"/>
      <c r="H209" s="93"/>
      <c r="I209" s="94"/>
      <c r="J209" s="49"/>
    </row>
    <row r="210">
      <c r="A210" s="49"/>
      <c r="B210" s="196" t="s">
        <v>232</v>
      </c>
      <c r="C210" s="109" t="s">
        <v>330</v>
      </c>
      <c r="D210" s="109" t="s">
        <v>204</v>
      </c>
      <c r="E210" s="109" t="s">
        <v>205</v>
      </c>
      <c r="F210" s="109" t="s">
        <v>279</v>
      </c>
      <c r="G210" s="109" t="s">
        <v>206</v>
      </c>
      <c r="H210" s="197"/>
      <c r="I210" s="198"/>
      <c r="J210" s="49"/>
    </row>
    <row r="211">
      <c r="A211" s="49"/>
      <c r="B211" s="199" t="s">
        <v>125</v>
      </c>
      <c r="C211" s="109" t="s">
        <v>331</v>
      </c>
      <c r="D211" s="109" t="str">
        <f>'A completar'!C187</f>
        <v/>
      </c>
      <c r="E211" s="200" t="str">
        <f>'A completar'!C188</f>
        <v/>
      </c>
      <c r="F211" s="194" t="str">
        <f>(D211*100)/E211</f>
        <v>#DIV/0!</v>
      </c>
      <c r="G211" s="195">
        <v>0.9</v>
      </c>
      <c r="H211" s="197"/>
      <c r="I211" s="198"/>
      <c r="J211" s="49"/>
    </row>
    <row r="212">
      <c r="A212" s="49"/>
      <c r="B212" s="118" t="s">
        <v>212</v>
      </c>
      <c r="C212" s="79"/>
      <c r="D212" s="79"/>
      <c r="E212" s="79"/>
      <c r="F212" s="79"/>
      <c r="G212" s="79"/>
      <c r="H212" s="79"/>
      <c r="I212" s="80"/>
      <c r="J212" s="49"/>
    </row>
    <row r="213">
      <c r="A213" s="49"/>
      <c r="B213" s="132" t="str">
        <f>IF(AND(F211&gt;=90,F211&lt;=110),
"Se presenta una correcta simetría de fuerza en el handrip.",
"Se presenta una asimetría de fuerza en el handrip.")
</f>
        <v>#DIV/0!</v>
      </c>
      <c r="I213" s="103"/>
      <c r="J213" s="49"/>
    </row>
    <row r="214">
      <c r="A214" s="49"/>
      <c r="B214" s="151" t="s">
        <v>347</v>
      </c>
      <c r="C214" s="93"/>
      <c r="D214" s="93"/>
      <c r="E214" s="93"/>
      <c r="F214" s="93"/>
      <c r="G214" s="93"/>
      <c r="H214" s="93"/>
      <c r="I214" s="94"/>
      <c r="J214" s="49"/>
    </row>
    <row r="215">
      <c r="A215" s="49"/>
      <c r="B215" s="113" t="s">
        <v>317</v>
      </c>
      <c r="C215" s="8" t="s">
        <v>348</v>
      </c>
      <c r="D215" s="8" t="s">
        <v>349</v>
      </c>
      <c r="E215" s="8" t="s">
        <v>350</v>
      </c>
      <c r="F215" s="197"/>
      <c r="G215" s="197"/>
      <c r="H215" s="197"/>
      <c r="I215" s="198"/>
      <c r="J215" s="49"/>
    </row>
    <row r="216">
      <c r="A216" s="49"/>
      <c r="B216" s="196" t="str">
        <f>'A completar'!A189</f>
        <v>Cuádriceps derecho</v>
      </c>
      <c r="C216" s="109" t="str">
        <f>'A completar'!C189</f>
        <v/>
      </c>
      <c r="D216" s="109" t="str">
        <f>'A completar'!C190</f>
        <v/>
      </c>
      <c r="E216" s="156" t="str">
        <f t="shared" ref="E216:E219" si="11">(D216-C216)/C216*100</f>
        <v>#DIV/0!</v>
      </c>
      <c r="F216" s="197"/>
      <c r="G216" s="197"/>
      <c r="H216" s="197"/>
      <c r="I216" s="198"/>
      <c r="J216" s="49"/>
    </row>
    <row r="217">
      <c r="A217" s="49"/>
      <c r="B217" s="196" t="str">
        <f>'A completar'!A191</f>
        <v>Cuádriceps izquierdo</v>
      </c>
      <c r="C217" s="109" t="str">
        <f>'A completar'!C191</f>
        <v/>
      </c>
      <c r="D217" s="109" t="str">
        <f>'A completar'!C192</f>
        <v/>
      </c>
      <c r="E217" s="156" t="str">
        <f t="shared" si="11"/>
        <v>#DIV/0!</v>
      </c>
      <c r="F217" s="197"/>
      <c r="G217" s="197"/>
      <c r="H217" s="197"/>
      <c r="I217" s="198"/>
      <c r="J217" s="49"/>
    </row>
    <row r="218">
      <c r="A218" s="49"/>
      <c r="B218" s="196" t="str">
        <f>'A completar'!A193</f>
        <v>Isquiotibiales derecho</v>
      </c>
      <c r="C218" s="109" t="str">
        <f>'A completar'!C193</f>
        <v/>
      </c>
      <c r="D218" s="109" t="str">
        <f>'A completar'!C194</f>
        <v/>
      </c>
      <c r="E218" s="156" t="str">
        <f t="shared" si="11"/>
        <v>#DIV/0!</v>
      </c>
      <c r="F218" s="197"/>
      <c r="G218" s="197"/>
      <c r="H218" s="197"/>
      <c r="I218" s="198"/>
      <c r="J218" s="49"/>
    </row>
    <row r="219">
      <c r="A219" s="49"/>
      <c r="B219" s="196" t="str">
        <f>'A completar'!A195</f>
        <v>Isquiotibiales izquierdo</v>
      </c>
      <c r="C219" s="109" t="str">
        <f>'A completar'!C195</f>
        <v/>
      </c>
      <c r="D219" s="109" t="str">
        <f>'A completar'!C196</f>
        <v/>
      </c>
      <c r="E219" s="156" t="str">
        <f t="shared" si="11"/>
        <v>#DIV/0!</v>
      </c>
      <c r="F219" s="197"/>
      <c r="G219" s="197"/>
      <c r="H219" s="197"/>
      <c r="I219" s="198"/>
      <c r="J219" s="49"/>
    </row>
    <row r="220">
      <c r="A220" s="49"/>
      <c r="B220" s="118" t="s">
        <v>212</v>
      </c>
      <c r="C220" s="79"/>
      <c r="D220" s="79"/>
      <c r="E220" s="79"/>
      <c r="F220" s="79"/>
      <c r="G220" s="79"/>
      <c r="H220" s="79"/>
      <c r="I220" s="80"/>
      <c r="J220" s="49"/>
    </row>
    <row r="221">
      <c r="A221" s="49"/>
      <c r="B221" s="132" t="str">
        <f t="shared" ref="B221:B224" si="12">"Se presenta una mejora en "&amp;B216&amp;" de un "&amp;TEXT(E216/100,"0%")</f>
        <v>#DIV/0!</v>
      </c>
      <c r="C221" s="201"/>
      <c r="D221" s="201"/>
      <c r="E221" s="201"/>
      <c r="F221" s="201"/>
      <c r="G221" s="201"/>
      <c r="H221" s="201"/>
      <c r="I221" s="202"/>
      <c r="J221" s="49"/>
    </row>
    <row r="222">
      <c r="A222" s="49"/>
      <c r="B222" s="132" t="str">
        <f t="shared" si="12"/>
        <v>#DIV/0!</v>
      </c>
      <c r="C222" s="197"/>
      <c r="D222" s="197"/>
      <c r="E222" s="197"/>
      <c r="F222" s="197"/>
      <c r="G222" s="197"/>
      <c r="H222" s="197"/>
      <c r="I222" s="198"/>
      <c r="J222" s="49"/>
    </row>
    <row r="223">
      <c r="A223" s="49"/>
      <c r="B223" s="132" t="str">
        <f t="shared" si="12"/>
        <v>#DIV/0!</v>
      </c>
      <c r="C223" s="197"/>
      <c r="D223" s="197"/>
      <c r="E223" s="197"/>
      <c r="F223" s="197"/>
      <c r="G223" s="197"/>
      <c r="H223" s="197"/>
      <c r="I223" s="198"/>
      <c r="J223" s="49"/>
    </row>
    <row r="224">
      <c r="A224" s="49"/>
      <c r="B224" s="132" t="str">
        <f t="shared" si="12"/>
        <v>#DIV/0!</v>
      </c>
      <c r="C224" s="197"/>
      <c r="D224" s="197"/>
      <c r="E224" s="197"/>
      <c r="F224" s="197"/>
      <c r="G224" s="197"/>
      <c r="H224" s="197"/>
      <c r="I224" s="198"/>
      <c r="J224" s="49"/>
    </row>
    <row r="225">
      <c r="A225" s="49"/>
      <c r="B225" s="151" t="s">
        <v>351</v>
      </c>
      <c r="C225" s="93"/>
      <c r="D225" s="93"/>
      <c r="E225" s="93"/>
      <c r="F225" s="93"/>
      <c r="G225" s="93"/>
      <c r="H225" s="93"/>
      <c r="I225" s="94"/>
      <c r="J225" s="49"/>
    </row>
    <row r="226">
      <c r="A226" s="49"/>
      <c r="B226" s="113" t="s">
        <v>330</v>
      </c>
      <c r="C226" s="8" t="s">
        <v>352</v>
      </c>
      <c r="D226" s="8" t="s">
        <v>204</v>
      </c>
      <c r="E226" s="8" t="s">
        <v>205</v>
      </c>
      <c r="F226" s="109" t="s">
        <v>279</v>
      </c>
      <c r="G226" s="109" t="s">
        <v>206</v>
      </c>
      <c r="H226" s="8" t="s">
        <v>353</v>
      </c>
      <c r="I226" s="203"/>
      <c r="J226" s="49"/>
    </row>
    <row r="227">
      <c r="A227" s="49"/>
      <c r="B227" s="204" t="s">
        <v>354</v>
      </c>
      <c r="C227" s="8" t="s">
        <v>355</v>
      </c>
      <c r="D227" s="109" t="str">
        <f>'A completar'!C197</f>
        <v/>
      </c>
      <c r="E227" s="109" t="str">
        <f>'A completar'!C198</f>
        <v/>
      </c>
      <c r="F227" s="194" t="str">
        <f t="shared" ref="F227:F230" si="13">(D227*100)/E227</f>
        <v>#DIV/0!</v>
      </c>
      <c r="G227" s="195">
        <v>0.9</v>
      </c>
      <c r="H227" s="195" t="str">
        <f>'A completar'!C199</f>
        <v/>
      </c>
      <c r="I227" s="203"/>
      <c r="J227" s="49"/>
    </row>
    <row r="228">
      <c r="A228" s="49"/>
      <c r="B228" s="20"/>
      <c r="C228" s="8" t="s">
        <v>356</v>
      </c>
      <c r="D228" s="109" t="str">
        <f>'A completar'!C200</f>
        <v/>
      </c>
      <c r="E228" s="109" t="str">
        <f>'A completar'!C201</f>
        <v/>
      </c>
      <c r="F228" s="194" t="str">
        <f t="shared" si="13"/>
        <v>#DIV/0!</v>
      </c>
      <c r="G228" s="195">
        <v>0.9</v>
      </c>
      <c r="H228" s="195" t="str">
        <f>'A completar'!C202</f>
        <v/>
      </c>
      <c r="I228" s="203"/>
      <c r="J228" s="49"/>
    </row>
    <row r="229">
      <c r="A229" s="49"/>
      <c r="B229" s="20"/>
      <c r="C229" s="8" t="s">
        <v>357</v>
      </c>
      <c r="D229" s="109" t="str">
        <f>'A completar'!C203</f>
        <v/>
      </c>
      <c r="E229" s="109" t="str">
        <f>'A completar'!C204</f>
        <v/>
      </c>
      <c r="F229" s="194" t="str">
        <f t="shared" si="13"/>
        <v>#DIV/0!</v>
      </c>
      <c r="G229" s="195">
        <v>0.9</v>
      </c>
      <c r="H229" s="195" t="str">
        <f>'A completar'!C205</f>
        <v/>
      </c>
      <c r="I229" s="203"/>
      <c r="J229" s="49"/>
    </row>
    <row r="230">
      <c r="A230" s="49"/>
      <c r="B230" s="14"/>
      <c r="C230" s="8" t="s">
        <v>358</v>
      </c>
      <c r="D230" s="109" t="str">
        <f>'A completar'!C206</f>
        <v/>
      </c>
      <c r="E230" s="109" t="str">
        <f>'A completar'!C207</f>
        <v/>
      </c>
      <c r="F230" s="194" t="str">
        <f t="shared" si="13"/>
        <v>#DIV/0!</v>
      </c>
      <c r="G230" s="195">
        <v>0.9</v>
      </c>
      <c r="H230" s="195" t="str">
        <f>'A completar'!C208</f>
        <v/>
      </c>
      <c r="I230" s="203"/>
      <c r="J230" s="49"/>
    </row>
    <row r="231">
      <c r="A231" s="49"/>
      <c r="B231" s="118" t="s">
        <v>212</v>
      </c>
      <c r="C231" s="79"/>
      <c r="D231" s="79"/>
      <c r="E231" s="79"/>
      <c r="F231" s="79"/>
      <c r="G231" s="79"/>
      <c r="H231" s="79"/>
      <c r="I231" s="80"/>
      <c r="J231" s="49"/>
    </row>
    <row r="232">
      <c r="A232" s="49"/>
      <c r="B232" s="132" t="str">
        <f>IF(AND(F227&gt;=90,F227&lt;=110),
"En la Sentadilla, se presenta una correcta simetría en la velocidad de ejecución.",
"En la Sentadilla, se presenta una asimetría en la velocidad de ejecución.")
</f>
        <v>#DIV/0!</v>
      </c>
      <c r="I232" s="103"/>
      <c r="J232" s="49"/>
    </row>
    <row r="233">
      <c r="A233" s="49"/>
      <c r="B233" s="132" t="str">
        <f>IF(AND(F228&gt;=90,F228&lt;=110),
"En el Peso Muerto, se presenta una correcta simetría en la velocidad de ejecución.",
"En el Peso Muerto, se presenta una asimetría en la velocidad de ejecución.")
</f>
        <v>#DIV/0!</v>
      </c>
      <c r="I233" s="103"/>
      <c r="J233" s="49"/>
    </row>
    <row r="234">
      <c r="A234" s="49"/>
      <c r="B234" s="132" t="str">
        <f>IF(AND(F229&gt;=90,F229&lt;=110),
"En el Puente Glúteo, se presenta una correcta simetría en la velocidad de ejecución.",
"En el Puente Glúteo, se presenta una asimetría en la velocidad de ejecución.")
</f>
        <v>#DIV/0!</v>
      </c>
      <c r="I234" s="103"/>
      <c r="J234" s="49"/>
    </row>
    <row r="235">
      <c r="A235" s="49"/>
      <c r="B235" s="132" t="str">
        <f>IF(AND(F230&gt;=90,F230&lt;=110),
"En la sentadilla búlgara, se presenta una correcta simetría en la velocidad de ejecución.",
"En la sentadilla bùlgara, se presenta una asimetría en la velocidad de ejecución.")
</f>
        <v>#DIV/0!</v>
      </c>
      <c r="I235" s="103"/>
      <c r="J235" s="49"/>
    </row>
    <row r="236">
      <c r="A236" s="49"/>
      <c r="B236" s="151" t="s">
        <v>359</v>
      </c>
      <c r="C236" s="93"/>
      <c r="D236" s="93"/>
      <c r="E236" s="93"/>
      <c r="F236" s="93"/>
      <c r="G236" s="93"/>
      <c r="H236" s="93"/>
      <c r="I236" s="94"/>
      <c r="J236" s="49"/>
    </row>
    <row r="237">
      <c r="A237" s="49"/>
      <c r="B237" s="196" t="s">
        <v>232</v>
      </c>
      <c r="C237" s="109" t="s">
        <v>330</v>
      </c>
      <c r="D237" s="8" t="s">
        <v>204</v>
      </c>
      <c r="E237" s="8" t="s">
        <v>205</v>
      </c>
      <c r="F237" s="109" t="s">
        <v>279</v>
      </c>
      <c r="G237" s="109" t="s">
        <v>206</v>
      </c>
      <c r="H237" s="197"/>
      <c r="I237" s="198"/>
      <c r="J237" s="49"/>
    </row>
    <row r="238">
      <c r="A238" s="49"/>
      <c r="B238" s="205" t="s">
        <v>360</v>
      </c>
      <c r="C238" s="109" t="s">
        <v>361</v>
      </c>
      <c r="D238" s="75" t="str">
        <f>'A completar'!C209</f>
        <v/>
      </c>
      <c r="E238" s="2"/>
      <c r="F238" s="109" t="s">
        <v>57</v>
      </c>
      <c r="G238" s="109" t="s">
        <v>57</v>
      </c>
      <c r="H238" s="197"/>
      <c r="I238" s="198"/>
      <c r="J238" s="49"/>
    </row>
    <row r="239">
      <c r="A239" s="49"/>
      <c r="B239" s="35"/>
      <c r="C239" s="109" t="s">
        <v>362</v>
      </c>
      <c r="D239" s="109" t="str">
        <f>'A completar'!C210</f>
        <v/>
      </c>
      <c r="E239" s="109" t="str">
        <f>'A completar'!C211</f>
        <v/>
      </c>
      <c r="F239" s="206" t="str">
        <f t="shared" ref="F239:F241" si="14">(D239*100)/E239</f>
        <v>#DIV/0!</v>
      </c>
      <c r="G239" s="195">
        <v>0.9</v>
      </c>
      <c r="H239" s="197"/>
      <c r="I239" s="198"/>
      <c r="J239" s="49"/>
    </row>
    <row r="240">
      <c r="A240" s="49"/>
      <c r="B240" s="35"/>
      <c r="C240" s="109" t="s">
        <v>363</v>
      </c>
      <c r="D240" s="109" t="str">
        <f>'A completar'!C212</f>
        <v/>
      </c>
      <c r="E240" s="109" t="str">
        <f>'A completar'!C213</f>
        <v/>
      </c>
      <c r="F240" s="194" t="str">
        <f t="shared" si="14"/>
        <v>#DIV/0!</v>
      </c>
      <c r="G240" s="195">
        <v>0.9</v>
      </c>
      <c r="H240" s="197"/>
      <c r="I240" s="198"/>
      <c r="J240" s="49"/>
    </row>
    <row r="241">
      <c r="A241" s="49"/>
      <c r="B241" s="35"/>
      <c r="C241" s="109" t="s">
        <v>364</v>
      </c>
      <c r="D241" s="109" t="str">
        <f>'A completar'!C214</f>
        <v/>
      </c>
      <c r="E241" s="109" t="str">
        <f>'A completar'!C215</f>
        <v/>
      </c>
      <c r="F241" s="194" t="str">
        <f t="shared" si="14"/>
        <v>#DIV/0!</v>
      </c>
      <c r="G241" s="195">
        <v>0.9</v>
      </c>
      <c r="H241" s="197"/>
      <c r="I241" s="198"/>
      <c r="J241" s="49"/>
    </row>
    <row r="242">
      <c r="A242" s="49"/>
      <c r="B242" s="31"/>
      <c r="C242" s="8" t="s">
        <v>365</v>
      </c>
      <c r="D242" s="75" t="str">
        <f>'A completar'!C216</f>
        <v/>
      </c>
      <c r="E242" s="2"/>
      <c r="F242" s="109" t="s">
        <v>57</v>
      </c>
      <c r="G242" s="109" t="s">
        <v>57</v>
      </c>
      <c r="H242" s="197"/>
      <c r="I242" s="198"/>
      <c r="J242" s="49"/>
    </row>
    <row r="243">
      <c r="A243" s="49"/>
      <c r="B243" s="30" t="s">
        <v>366</v>
      </c>
      <c r="C243" s="109" t="s">
        <v>361</v>
      </c>
      <c r="D243" s="109" t="str">
        <f>'A completar'!C217</f>
        <v/>
      </c>
      <c r="E243" s="109" t="str">
        <f>'A completar'!C218</f>
        <v/>
      </c>
      <c r="F243" s="194" t="str">
        <f t="shared" ref="F243:F247" si="15">(D243*100)/E243</f>
        <v>#DIV/0!</v>
      </c>
      <c r="G243" s="195">
        <v>0.9</v>
      </c>
      <c r="H243" s="197"/>
      <c r="I243" s="198"/>
      <c r="J243" s="49"/>
    </row>
    <row r="244">
      <c r="A244" s="49"/>
      <c r="B244" s="35"/>
      <c r="C244" s="109" t="s">
        <v>362</v>
      </c>
      <c r="D244" s="109" t="str">
        <f>'A completar'!C219</f>
        <v/>
      </c>
      <c r="E244" s="109" t="str">
        <f>'A completar'!C220</f>
        <v/>
      </c>
      <c r="F244" s="194" t="str">
        <f t="shared" si="15"/>
        <v>#DIV/0!</v>
      </c>
      <c r="G244" s="195">
        <v>0.9</v>
      </c>
      <c r="H244" s="197"/>
      <c r="I244" s="198"/>
      <c r="J244" s="49"/>
    </row>
    <row r="245">
      <c r="A245" s="49"/>
      <c r="B245" s="35"/>
      <c r="C245" s="109" t="s">
        <v>363</v>
      </c>
      <c r="D245" s="109" t="str">
        <f>'A completar'!C221</f>
        <v/>
      </c>
      <c r="E245" s="109" t="str">
        <f>'A completar'!C222</f>
        <v/>
      </c>
      <c r="F245" s="194" t="str">
        <f t="shared" si="15"/>
        <v>#DIV/0!</v>
      </c>
      <c r="G245" s="195">
        <v>0.9</v>
      </c>
      <c r="H245" s="197"/>
      <c r="I245" s="198"/>
      <c r="J245" s="49"/>
    </row>
    <row r="246">
      <c r="A246" s="49"/>
      <c r="B246" s="35"/>
      <c r="C246" s="109" t="s">
        <v>364</v>
      </c>
      <c r="D246" s="109" t="str">
        <f>'A completar'!C223</f>
        <v/>
      </c>
      <c r="E246" s="109" t="str">
        <f>'A completar'!C224</f>
        <v/>
      </c>
      <c r="F246" s="194" t="str">
        <f t="shared" si="15"/>
        <v>#DIV/0!</v>
      </c>
      <c r="G246" s="195">
        <v>0.9</v>
      </c>
      <c r="H246" s="197"/>
      <c r="I246" s="198"/>
      <c r="J246" s="49"/>
    </row>
    <row r="247">
      <c r="A247" s="49"/>
      <c r="B247" s="31"/>
      <c r="C247" s="8" t="s">
        <v>365</v>
      </c>
      <c r="D247" s="109" t="str">
        <f>'A completar'!C225</f>
        <v/>
      </c>
      <c r="E247" s="109" t="str">
        <f>'A completar'!C226</f>
        <v/>
      </c>
      <c r="F247" s="194" t="str">
        <f t="shared" si="15"/>
        <v>#DIV/0!</v>
      </c>
      <c r="G247" s="195">
        <v>0.9</v>
      </c>
      <c r="H247" s="197"/>
      <c r="I247" s="198"/>
      <c r="J247" s="49"/>
    </row>
    <row r="248">
      <c r="A248" s="49"/>
      <c r="B248" s="30" t="s">
        <v>367</v>
      </c>
      <c r="C248" s="109" t="s">
        <v>361</v>
      </c>
      <c r="D248" s="75" t="str">
        <f>'A completar'!C227</f>
        <v/>
      </c>
      <c r="E248" s="2"/>
      <c r="F248" s="109" t="s">
        <v>57</v>
      </c>
      <c r="G248" s="109" t="s">
        <v>57</v>
      </c>
      <c r="H248" s="197"/>
      <c r="I248" s="198"/>
      <c r="J248" s="49"/>
    </row>
    <row r="249">
      <c r="A249" s="49"/>
      <c r="B249" s="35"/>
      <c r="C249" s="8" t="s">
        <v>368</v>
      </c>
      <c r="D249" s="109" t="str">
        <f>'A completar'!C228</f>
        <v/>
      </c>
      <c r="E249" s="109" t="str">
        <f>'A completar'!C229</f>
        <v/>
      </c>
      <c r="F249" s="206" t="str">
        <f>(D249*100)/E249</f>
        <v>#DIV/0!</v>
      </c>
      <c r="G249" s="195">
        <v>0.9</v>
      </c>
      <c r="H249" s="197"/>
      <c r="I249" s="198"/>
      <c r="J249" s="49"/>
    </row>
    <row r="250">
      <c r="A250" s="49"/>
      <c r="B250" s="31"/>
      <c r="C250" s="8" t="s">
        <v>365</v>
      </c>
      <c r="D250" s="75" t="str">
        <f>'A completar'!C230</f>
        <v/>
      </c>
      <c r="E250" s="2"/>
      <c r="F250" s="109" t="s">
        <v>57</v>
      </c>
      <c r="G250" s="109" t="s">
        <v>57</v>
      </c>
      <c r="H250" s="197"/>
      <c r="I250" s="198"/>
      <c r="J250" s="49"/>
    </row>
    <row r="251">
      <c r="A251" s="49"/>
      <c r="B251" s="205" t="s">
        <v>369</v>
      </c>
      <c r="C251" s="109" t="s">
        <v>361</v>
      </c>
      <c r="D251" s="109" t="str">
        <f>'A completar'!C231</f>
        <v/>
      </c>
      <c r="E251" s="109" t="str">
        <f>'A completar'!C232</f>
        <v/>
      </c>
      <c r="F251" s="194" t="str">
        <f>(D251*100)/E251</f>
        <v>#DIV/0!</v>
      </c>
      <c r="G251" s="195">
        <v>0.9</v>
      </c>
      <c r="H251" s="197"/>
      <c r="I251" s="198"/>
      <c r="J251" s="49"/>
    </row>
    <row r="252">
      <c r="A252" s="49"/>
      <c r="B252" s="35"/>
      <c r="C252" s="109" t="s">
        <v>370</v>
      </c>
      <c r="D252" s="109" t="str">
        <f>'A completar'!C233</f>
        <v/>
      </c>
      <c r="E252" s="109" t="str">
        <f>'A completar'!C234</f>
        <v/>
      </c>
      <c r="F252" s="194" t="str">
        <f>(E252*100)/D252</f>
        <v>#DIV/0!</v>
      </c>
      <c r="G252" s="195">
        <v>0.9</v>
      </c>
      <c r="H252" s="197"/>
      <c r="I252" s="198"/>
      <c r="J252" s="49"/>
    </row>
    <row r="253">
      <c r="A253" s="49"/>
      <c r="B253" s="31"/>
      <c r="C253" s="8" t="s">
        <v>365</v>
      </c>
      <c r="D253" s="109" t="str">
        <f>'A completar'!C235</f>
        <v/>
      </c>
      <c r="E253" s="109" t="str">
        <f>'A completar'!C236</f>
        <v/>
      </c>
      <c r="F253" s="206" t="str">
        <f>(D253*100)/E253</f>
        <v>#DIV/0!</v>
      </c>
      <c r="G253" s="195">
        <v>0.9</v>
      </c>
      <c r="H253" s="197"/>
      <c r="I253" s="198"/>
      <c r="J253" s="49"/>
    </row>
    <row r="254">
      <c r="A254" s="49"/>
      <c r="B254" s="118" t="s">
        <v>212</v>
      </c>
      <c r="C254" s="79"/>
      <c r="D254" s="79"/>
      <c r="E254" s="79"/>
      <c r="F254" s="79"/>
      <c r="G254" s="79"/>
      <c r="H254" s="79"/>
      <c r="I254" s="80"/>
      <c r="J254" s="49"/>
    </row>
    <row r="255">
      <c r="A255" s="49"/>
      <c r="B255" s="132" t="str">
        <f>IF(AND(F239&gt;=90,F239&lt;=110),
"En el CMJ a 2 piernas, se presenta una correcta simetría en la fuerza de frenado.",
"En el CMJ a 2 piernas, se presenta una asimetría en la fuerza de frenado.")
</f>
        <v>#DIV/0!</v>
      </c>
      <c r="I255" s="103"/>
      <c r="J255" s="49"/>
    </row>
    <row r="256">
      <c r="A256" s="49"/>
      <c r="B256" s="132" t="str">
        <f>IF(AND(F240&gt;=90,F240&lt;=110),
"En el CMJ a 2 piernas, se presenta una correcta simetría en la fuerza propulsiva.",
"En el CMJ a 2 piernas, se presenta una asimetría en la fuerza propulsiva.")
</f>
        <v>#DIV/0!</v>
      </c>
      <c r="I256" s="103"/>
      <c r="J256" s="49"/>
    </row>
    <row r="257">
      <c r="A257" s="49"/>
      <c r="B257" s="132" t="str">
        <f>IF(AND(F241&gt;=90,F241&lt;=110),
"En el CMJ a 2 piernas, se presenta una correcta simetría en la fuerza de aterrizaje.",
"En el CMJ a 2 piernas, se presenta una asimetría en la fuerza de aterrizaje.")
</f>
        <v>#DIV/0!</v>
      </c>
      <c r="I257" s="103"/>
      <c r="J257" s="49"/>
    </row>
    <row r="258">
      <c r="A258" s="49"/>
      <c r="B258" s="132" t="str">
        <f>IF(AND(F243&gt;=90,F243&lt;=110),
"En el CMJ a 1 pierna, se presenta una correcta simetría en la altura del salto.",
"En el CMJ a 1 pierna, se presenta una asimetría en la altura del salto.")
</f>
        <v>#DIV/0!</v>
      </c>
      <c r="I258" s="103"/>
      <c r="J258" s="49"/>
    </row>
    <row r="259">
      <c r="A259" s="49"/>
      <c r="B259" s="132" t="str">
        <f>IF(AND(F244&gt;=90,F244&lt;=110),
"En el CMJ a 1 pierna, se presenta una correcta simetría en la fuerza de frenado.",
"En el CMJ a 1 pierna, se presenta una asimetría en la fuerza de frenado.")
</f>
        <v>#DIV/0!</v>
      </c>
      <c r="I259" s="103"/>
      <c r="J259" s="49"/>
    </row>
    <row r="260">
      <c r="A260" s="49"/>
      <c r="B260" s="132" t="str">
        <f>IF(AND(F245&gt;=90,F245&lt;=110),
"En el CMJ a 1 pierna, se presenta una correcta simetría en la fuerza propulsiva.",
"En el CMJ a 1 pierna, se presenta una asimetría en la fuerza propulsiva.")
</f>
        <v>#DIV/0!</v>
      </c>
      <c r="I260" s="103"/>
      <c r="J260" s="49"/>
    </row>
    <row r="261">
      <c r="A261" s="49"/>
      <c r="B261" s="132" t="str">
        <f>IF(AND(F246&gt;=90,F246&lt;=110),
"En el CMJ a 1 pierna, se presenta una correcta simetría en la fuerza de aterrizaje.",
"En el CMJ a 1 pierna, se presenta una asimetría en la fuerza de aterrizaje.")
</f>
        <v>#DIV/0!</v>
      </c>
      <c r="I261" s="103"/>
      <c r="J261" s="49"/>
    </row>
    <row r="262">
      <c r="A262" s="49"/>
      <c r="B262" s="132" t="str">
        <f>IF(AND(F249&gt;=90,F249&lt;=110),
"En el DJ a 2 piernas, se presenta una correcta simetría en la fuerza pico de contacto.",
"En el DJ a 2 piernas, se presenta una asimetría en la fuerza pico de contacto.")
</f>
        <v>#DIV/0!</v>
      </c>
      <c r="I262" s="103"/>
      <c r="J262" s="49"/>
    </row>
    <row r="263">
      <c r="A263" s="49"/>
      <c r="B263" s="132" t="str">
        <f>IF(AND(F251&gt;=90,F251&lt;=110),
"En el DJ a 1 pierna, se presenta una correcta simetría en la altura del salto.",
"En el DJ a 1 pierna, se presenta una asimetría en la altura del salto.")
</f>
        <v>#DIV/0!</v>
      </c>
      <c r="I263" s="103"/>
      <c r="J263" s="49"/>
    </row>
    <row r="264">
      <c r="A264" s="49"/>
      <c r="B264" s="132" t="str">
        <f>IF(AND(F252&gt;=90,F252&lt;=110),
"En el DJ a 1 pierna, se presenta una correcta simetría en el tiempo de contacto.",
"En el DJ a 1 pierna, se presenta una asimetría en el tiempo de contacto.")
</f>
        <v>#DIV/0!</v>
      </c>
      <c r="I264" s="103"/>
      <c r="J264" s="49"/>
    </row>
    <row r="265">
      <c r="A265" s="49"/>
      <c r="B265" s="207" t="s">
        <v>371</v>
      </c>
      <c r="C265" s="93"/>
      <c r="D265" s="93"/>
      <c r="E265" s="93"/>
      <c r="F265" s="93"/>
      <c r="G265" s="93"/>
      <c r="H265" s="93"/>
      <c r="I265" s="94"/>
      <c r="J265" s="49"/>
    </row>
    <row r="266">
      <c r="A266" s="49"/>
      <c r="B266" s="196" t="s">
        <v>232</v>
      </c>
      <c r="C266" s="200" t="s">
        <v>330</v>
      </c>
      <c r="D266" s="8" t="s">
        <v>204</v>
      </c>
      <c r="E266" s="8" t="s">
        <v>205</v>
      </c>
      <c r="F266" s="109" t="s">
        <v>279</v>
      </c>
      <c r="G266" s="109" t="s">
        <v>206</v>
      </c>
      <c r="H266" s="197"/>
      <c r="I266" s="198"/>
      <c r="J266" s="49"/>
    </row>
    <row r="267">
      <c r="A267" s="49"/>
      <c r="B267" s="208" t="s">
        <v>159</v>
      </c>
      <c r="C267" s="109" t="s">
        <v>372</v>
      </c>
      <c r="D267" s="109" t="str">
        <f>'A completar'!C237</f>
        <v/>
      </c>
      <c r="E267" s="109" t="str">
        <f>'A completar'!C238</f>
        <v/>
      </c>
      <c r="F267" s="156" t="str">
        <f t="shared" ref="F267:F268" si="16">(D267*100)/E267</f>
        <v>#DIV/0!</v>
      </c>
      <c r="G267" s="195">
        <v>0.9</v>
      </c>
      <c r="H267" s="197"/>
      <c r="I267" s="198"/>
      <c r="J267" s="49"/>
    </row>
    <row r="268">
      <c r="A268" s="49"/>
      <c r="B268" s="205" t="s">
        <v>373</v>
      </c>
      <c r="C268" s="109" t="s">
        <v>372</v>
      </c>
      <c r="D268" s="109" t="str">
        <f>'A completar'!C239</f>
        <v/>
      </c>
      <c r="E268" s="109" t="str">
        <f>'A completar'!C240</f>
        <v/>
      </c>
      <c r="F268" s="156" t="str">
        <f t="shared" si="16"/>
        <v>#DIV/0!</v>
      </c>
      <c r="G268" s="195">
        <v>0.9</v>
      </c>
      <c r="H268" s="197"/>
      <c r="I268" s="198"/>
      <c r="J268" s="49"/>
    </row>
    <row r="269">
      <c r="A269" s="49"/>
      <c r="B269" s="31"/>
      <c r="C269" s="109" t="s">
        <v>370</v>
      </c>
      <c r="D269" s="109" t="str">
        <f>'A completar'!C241</f>
        <v/>
      </c>
      <c r="E269" s="209" t="str">
        <f>'A completar'!C242</f>
        <v/>
      </c>
      <c r="F269" s="156" t="str">
        <f>(E269*100)/D269</f>
        <v>#DIV/0!</v>
      </c>
      <c r="G269" s="195">
        <v>0.9</v>
      </c>
      <c r="H269" s="197"/>
      <c r="I269" s="198"/>
      <c r="J269" s="49"/>
    </row>
    <row r="270">
      <c r="A270" s="49"/>
      <c r="B270" s="30" t="s">
        <v>374</v>
      </c>
      <c r="C270" s="109" t="s">
        <v>372</v>
      </c>
      <c r="D270" s="109" t="str">
        <f>'A completar'!C243</f>
        <v/>
      </c>
      <c r="E270" s="109" t="str">
        <f>'A completar'!C244</f>
        <v/>
      </c>
      <c r="F270" s="156" t="str">
        <f>(D270*100)/E270</f>
        <v>#DIV/0!</v>
      </c>
      <c r="G270" s="195">
        <v>0.9</v>
      </c>
      <c r="H270" s="197"/>
      <c r="I270" s="198"/>
      <c r="J270" s="49"/>
    </row>
    <row r="271">
      <c r="A271" s="49"/>
      <c r="B271" s="31"/>
      <c r="C271" s="109" t="s">
        <v>370</v>
      </c>
      <c r="D271" s="109" t="str">
        <f>'A completar'!C245</f>
        <v/>
      </c>
      <c r="E271" s="209" t="str">
        <f>'A completar'!C246</f>
        <v/>
      </c>
      <c r="F271" s="156" t="str">
        <f>(E271*100)/D271</f>
        <v>#DIV/0!</v>
      </c>
      <c r="G271" s="195">
        <v>0.9</v>
      </c>
      <c r="H271" s="197"/>
      <c r="I271" s="198"/>
      <c r="J271" s="49"/>
    </row>
    <row r="272">
      <c r="A272" s="49"/>
      <c r="B272" s="208" t="s">
        <v>375</v>
      </c>
      <c r="C272" s="109" t="s">
        <v>372</v>
      </c>
      <c r="D272" s="109" t="str">
        <f>'A completar'!C247</f>
        <v/>
      </c>
      <c r="E272" s="109" t="str">
        <f>'A completar'!C248</f>
        <v/>
      </c>
      <c r="F272" s="156" t="str">
        <f t="shared" ref="F272:F274" si="17">(D272*100)/E272</f>
        <v>#DIV/0!</v>
      </c>
      <c r="G272" s="195">
        <v>0.9</v>
      </c>
      <c r="H272" s="197"/>
      <c r="I272" s="198"/>
      <c r="J272" s="49"/>
    </row>
    <row r="273">
      <c r="A273" s="49"/>
      <c r="B273" s="208" t="s">
        <v>376</v>
      </c>
      <c r="C273" s="109" t="s">
        <v>372</v>
      </c>
      <c r="D273" s="109" t="str">
        <f>'A completar'!C249</f>
        <v/>
      </c>
      <c r="E273" s="109" t="str">
        <f>'A completar'!C250</f>
        <v/>
      </c>
      <c r="F273" s="156" t="str">
        <f t="shared" si="17"/>
        <v>#DIV/0!</v>
      </c>
      <c r="G273" s="195">
        <v>0.9</v>
      </c>
      <c r="H273" s="197"/>
      <c r="I273" s="198"/>
      <c r="J273" s="49"/>
    </row>
    <row r="274">
      <c r="A274" s="49"/>
      <c r="B274" s="111" t="s">
        <v>166</v>
      </c>
      <c r="C274" s="109" t="s">
        <v>377</v>
      </c>
      <c r="D274" s="109" t="str">
        <f>'A completar'!C251</f>
        <v/>
      </c>
      <c r="E274" s="109" t="str">
        <f>'A completar'!C252</f>
        <v/>
      </c>
      <c r="F274" s="194" t="str">
        <f t="shared" si="17"/>
        <v>#DIV/0!</v>
      </c>
      <c r="G274" s="195">
        <v>0.9</v>
      </c>
      <c r="H274" s="197"/>
      <c r="I274" s="198"/>
      <c r="J274" s="49"/>
    </row>
    <row r="275">
      <c r="A275" s="49"/>
      <c r="B275" s="118" t="s">
        <v>212</v>
      </c>
      <c r="C275" s="79"/>
      <c r="D275" s="79"/>
      <c r="E275" s="79"/>
      <c r="F275" s="79"/>
      <c r="G275" s="79"/>
      <c r="H275" s="79"/>
      <c r="I275" s="80"/>
      <c r="J275" s="49"/>
    </row>
    <row r="276">
      <c r="A276" s="49"/>
      <c r="B276" s="132" t="str">
        <f>IF(AND(F267&gt;=90,F267&lt;=110),
"En el Single Hop Test, se presenta una correcta simetría en la distancia del salto alcanzada.",
"En el Single Hop Test, se presenta una asimetría en la distancia del salto alcanzada.")
</f>
        <v>#DIV/0!</v>
      </c>
      <c r="I276" s="103"/>
      <c r="J276" s="49"/>
    </row>
    <row r="277">
      <c r="A277" s="49"/>
      <c r="B277" s="132" t="str">
        <f>IF(AND(F268&gt;=90,F268&lt;=110),
"En el Triple Hop Test, se presenta una correcta simetría en la distancia del salto alcanzada.",
"En el Triple Hop Test, se presenta una asimetría en la distancia del salto alcanzada.")
</f>
        <v>#DIV/0!</v>
      </c>
      <c r="I277" s="103"/>
      <c r="J277" s="49"/>
    </row>
    <row r="278">
      <c r="A278" s="49"/>
      <c r="B278" s="132" t="str">
        <f>IF(AND(F269&gt;=90,F269&lt;=110),
"En el Triple Hop Test, se presenta una correcta simetría en el tiempo de contacto con el suelo.",
"En el Triple Hop Test, se presenta una asimetría en el tiempo de contacto con el suelo.")
</f>
        <v>#DIV/0!</v>
      </c>
      <c r="I278" s="103"/>
      <c r="J278" s="49"/>
    </row>
    <row r="279">
      <c r="A279" s="49"/>
      <c r="B279" s="132" t="str">
        <f>IF(AND(F270&gt;=90,F270&lt;=110),
"En el Crossover Hop Test, se presenta una correcta simetría en la distancia del salto alcanzada.",
"En el Crossover Hop Test, se presenta una asimetría en la distancia del salto alcanzada.")
</f>
        <v>#DIV/0!</v>
      </c>
      <c r="I279" s="103"/>
      <c r="J279" s="49"/>
    </row>
    <row r="280">
      <c r="A280" s="49"/>
      <c r="B280" s="132" t="str">
        <f>IF(AND(F271&gt;=90,F271&lt;=110),
"En el Crossover Hop Test, se presenta una correcta simetría en el tiempo de contacto con el suelo.",
"En el Crossover Hop Test, se presenta una asimetría en el tiempo de contacto con el suelo.")
</f>
        <v>#DIV/0!</v>
      </c>
      <c r="I280" s="103"/>
      <c r="J280" s="49"/>
    </row>
    <row r="281">
      <c r="A281" s="49"/>
      <c r="B281" s="132" t="str">
        <f>IF(AND(F272&gt;=90,F272&lt;=110),
"En el Medial Side Triple Hop Test, se presenta una correcta simetría en la distancia del salto alcanzada.",
"En el Medial Side Triple Hop Test, se presenta una asimetría en la distancia del salto alcanzada.")
</f>
        <v>#DIV/0!</v>
      </c>
      <c r="I281" s="103"/>
      <c r="J281" s="49"/>
    </row>
    <row r="282">
      <c r="A282" s="49"/>
      <c r="B282" s="132" t="str">
        <f>IF(AND(F273&gt;=90,F273&lt;=110),
"En el 90 Medial Rotation Hop Test, se presenta una correcta simetría en la distancia del salto alcanzada.",
"En el 90 Medial Rotation Hop Test, se presenta una asimetría en la distancia del salto alcanzada.")
</f>
        <v>#DIV/0!</v>
      </c>
      <c r="I282" s="103"/>
      <c r="J282" s="49"/>
    </row>
    <row r="283">
      <c r="A283" s="49"/>
      <c r="B283" s="132" t="str">
        <f>IF(AND(F274&gt;=90,F274&lt;=110),
"En el Side Hop Test, se presenta una correcta simetría en la cantidad de saltos.",
"En el Side Hop Test, se presenta una asimetría en la cantidad de saltos.")
</f>
        <v>#DIV/0!</v>
      </c>
      <c r="I283" s="103"/>
      <c r="J283" s="49"/>
    </row>
    <row r="284">
      <c r="A284" s="49"/>
      <c r="B284" s="210" t="s">
        <v>378</v>
      </c>
      <c r="C284" s="211"/>
      <c r="D284" s="211"/>
      <c r="E284" s="211"/>
      <c r="F284" s="211"/>
      <c r="G284" s="211"/>
      <c r="H284" s="211"/>
      <c r="I284" s="212"/>
      <c r="J284" s="49"/>
    </row>
    <row r="285">
      <c r="A285" s="49"/>
      <c r="B285" s="189" t="s">
        <v>232</v>
      </c>
      <c r="C285" s="119" t="s">
        <v>233</v>
      </c>
      <c r="D285" s="109" t="s">
        <v>379</v>
      </c>
      <c r="E285" s="109" t="s">
        <v>380</v>
      </c>
      <c r="F285" s="75" t="s">
        <v>381</v>
      </c>
      <c r="G285" s="109" t="s">
        <v>382</v>
      </c>
      <c r="H285" s="114"/>
      <c r="I285" s="99"/>
      <c r="J285" s="49"/>
    </row>
    <row r="286">
      <c r="A286" s="49"/>
      <c r="B286" s="205" t="s">
        <v>383</v>
      </c>
      <c r="C286" s="39" t="s">
        <v>17</v>
      </c>
      <c r="D286" s="109" t="str">
        <f>'A completar'!C253</f>
        <v/>
      </c>
      <c r="E286" s="109" t="str">
        <f>'A completar'!C254</f>
        <v/>
      </c>
      <c r="F286" s="75" t="str">
        <f>'A completar'!C255</f>
        <v/>
      </c>
      <c r="G286" s="109" t="str">
        <f>'A completar'!C256</f>
        <v/>
      </c>
      <c r="H286" s="102"/>
      <c r="I286" s="103"/>
      <c r="J286" s="49"/>
    </row>
    <row r="287">
      <c r="A287" s="49"/>
      <c r="B287" s="31"/>
      <c r="C287" s="39" t="s">
        <v>18</v>
      </c>
      <c r="D287" s="109" t="str">
        <f>'A completar'!C257</f>
        <v/>
      </c>
      <c r="E287" s="109" t="str">
        <f>'A completar'!C258</f>
        <v/>
      </c>
      <c r="F287" s="75" t="str">
        <f>'A completar'!C259</f>
        <v/>
      </c>
      <c r="G287" s="109" t="str">
        <f>'A completar'!C260</f>
        <v/>
      </c>
      <c r="H287" s="104"/>
      <c r="I287" s="106"/>
      <c r="J287" s="49"/>
    </row>
    <row r="288">
      <c r="A288" s="49"/>
      <c r="B288" s="205" t="s">
        <v>173</v>
      </c>
      <c r="C288" s="119" t="s">
        <v>17</v>
      </c>
      <c r="D288" s="213" t="str">
        <f>'A completar'!C261</f>
        <v/>
      </c>
      <c r="E288" s="98"/>
      <c r="F288" s="98"/>
      <c r="G288" s="98"/>
      <c r="H288" s="98"/>
      <c r="I288" s="99"/>
      <c r="J288" s="49"/>
    </row>
    <row r="289">
      <c r="A289" s="49"/>
      <c r="B289" s="31"/>
      <c r="C289" s="119" t="s">
        <v>18</v>
      </c>
      <c r="D289" s="104"/>
      <c r="E289" s="105"/>
      <c r="F289" s="105"/>
      <c r="G289" s="105"/>
      <c r="H289" s="105"/>
      <c r="I289" s="106"/>
      <c r="J289" s="49"/>
    </row>
    <row r="290">
      <c r="A290" s="49"/>
      <c r="B290" s="30" t="s">
        <v>174</v>
      </c>
      <c r="C290" s="119" t="s">
        <v>17</v>
      </c>
      <c r="D290" s="213" t="str">
        <f>'A completar'!C263</f>
        <v/>
      </c>
      <c r="E290" s="98"/>
      <c r="F290" s="98"/>
      <c r="G290" s="98"/>
      <c r="H290" s="98"/>
      <c r="I290" s="99"/>
      <c r="J290" s="49"/>
    </row>
    <row r="291">
      <c r="A291" s="49"/>
      <c r="B291" s="31"/>
      <c r="C291" s="119" t="s">
        <v>18</v>
      </c>
      <c r="D291" s="104"/>
      <c r="E291" s="105"/>
      <c r="F291" s="105"/>
      <c r="G291" s="105"/>
      <c r="H291" s="105"/>
      <c r="I291" s="106"/>
      <c r="J291" s="49"/>
    </row>
    <row r="292">
      <c r="A292" s="49"/>
      <c r="B292" s="30" t="s">
        <v>176</v>
      </c>
      <c r="C292" s="119" t="s">
        <v>17</v>
      </c>
      <c r="D292" s="213" t="str">
        <f>'A completar'!C265</f>
        <v/>
      </c>
      <c r="E292" s="98"/>
      <c r="F292" s="98"/>
      <c r="G292" s="98"/>
      <c r="H292" s="98"/>
      <c r="I292" s="99"/>
      <c r="J292" s="49"/>
    </row>
    <row r="293">
      <c r="A293" s="49"/>
      <c r="B293" s="31"/>
      <c r="C293" s="119" t="s">
        <v>18</v>
      </c>
      <c r="D293" s="104"/>
      <c r="E293" s="105"/>
      <c r="F293" s="105"/>
      <c r="G293" s="105"/>
      <c r="H293" s="105"/>
      <c r="I293" s="106"/>
      <c r="J293" s="49"/>
    </row>
    <row r="294">
      <c r="A294" s="49"/>
      <c r="B294" s="30" t="s">
        <v>177</v>
      </c>
      <c r="C294" s="119" t="s">
        <v>17</v>
      </c>
      <c r="D294" s="213" t="str">
        <f>'A completar'!C267</f>
        <v/>
      </c>
      <c r="E294" s="98"/>
      <c r="F294" s="98"/>
      <c r="G294" s="98"/>
      <c r="H294" s="98"/>
      <c r="I294" s="99"/>
      <c r="J294" s="49"/>
    </row>
    <row r="295">
      <c r="A295" s="49"/>
      <c r="B295" s="31"/>
      <c r="C295" s="119" t="s">
        <v>18</v>
      </c>
      <c r="D295" s="104"/>
      <c r="E295" s="105"/>
      <c r="F295" s="105"/>
      <c r="G295" s="105"/>
      <c r="H295" s="105"/>
      <c r="I295" s="106"/>
      <c r="J295" s="49"/>
    </row>
    <row r="296">
      <c r="A296" s="49"/>
      <c r="B296" s="30" t="s">
        <v>178</v>
      </c>
      <c r="C296" s="119" t="s">
        <v>17</v>
      </c>
      <c r="D296" s="213" t="str">
        <f>'A completar'!C269</f>
        <v/>
      </c>
      <c r="E296" s="98"/>
      <c r="F296" s="98"/>
      <c r="G296" s="98"/>
      <c r="H296" s="98"/>
      <c r="I296" s="99"/>
      <c r="J296" s="49"/>
    </row>
    <row r="297">
      <c r="A297" s="49"/>
      <c r="B297" s="31"/>
      <c r="C297" s="119" t="s">
        <v>18</v>
      </c>
      <c r="D297" s="104"/>
      <c r="E297" s="105"/>
      <c r="F297" s="105"/>
      <c r="G297" s="105"/>
      <c r="H297" s="105"/>
      <c r="I297" s="106"/>
      <c r="J297" s="49"/>
    </row>
    <row r="298">
      <c r="A298" s="49"/>
      <c r="B298" s="118" t="s">
        <v>212</v>
      </c>
      <c r="C298" s="79"/>
      <c r="D298" s="79"/>
      <c r="E298" s="79"/>
      <c r="F298" s="79"/>
      <c r="G298" s="79"/>
      <c r="H298" s="79"/>
      <c r="I298" s="80"/>
      <c r="J298" s="49"/>
    </row>
    <row r="299">
      <c r="A299" s="49"/>
      <c r="B299" s="214" t="str">
        <f>IF(AND(D286="OK", E286="OK", F286="OK", G286="OK"),
   "En la vista frontal, no se detectan déficits en la pierna lesionada.",
   "En la vista frontal de la pierna lesionada presenta un déficit de" &amp;
   IF(D286="X", " tronco", "") &amp;
   IF(AND(D286="X", OR(E286="X", F286="X", G286="X")), ",", "") &amp;
   IF(E286="X", " pelvis", "") &amp;
   IF(AND(E286="X", OR(F286="X", G286="X")), ",", "") &amp;
   IF(F286="X", " cadera", "") &amp;
   IF(AND(F286="X", G286="X"), ",", "") &amp;
   IF(G286="X", " rodilla", "") &amp; "."
)
</f>
        <v>En la vista frontal de la pierna lesionada presenta un déficit de.</v>
      </c>
      <c r="C299" s="197"/>
      <c r="D299" s="197"/>
      <c r="E299" s="197"/>
      <c r="F299" s="197"/>
      <c r="G299" s="197"/>
      <c r="H299" s="197"/>
      <c r="I299" s="198"/>
      <c r="J299" s="49"/>
    </row>
    <row r="300">
      <c r="A300" s="49"/>
      <c r="B300" s="214" t="str">
        <f>IF(AND(D287="OK", E287="OK", F287="OK", G287="OK"),
   "En la vista frontal, no se detectan déficits en la pierna sana.",
   "En la vista frontal de la pierna sana presenta un déficit de" &amp;
   IF(D287="X", " tronco", "") &amp;
   IF(AND(D287="X", OR(E287="X", F287="X", G287="X")), ",", "") &amp;
   IF(E287="X", " pelvis", "") &amp;
   IF(AND(E287="X", OR(F287="X", G287="X")), ",", "") &amp;
   IF(F287="X", " cadera", "") &amp;
   IF(AND(F287="X", G287="X"), ",", "") &amp;
   IF(G287="X", " rodilla", "") &amp; "."
)
</f>
        <v>En la vista frontal de la pierna sana presenta un déficit de.</v>
      </c>
      <c r="C300" s="197"/>
      <c r="D300" s="197"/>
      <c r="E300" s="197"/>
      <c r="F300" s="197"/>
      <c r="G300" s="197"/>
      <c r="H300" s="197"/>
      <c r="I300" s="198"/>
      <c r="J300" s="49"/>
    </row>
    <row r="301">
      <c r="A301" s="49"/>
      <c r="B301" s="207" t="s">
        <v>384</v>
      </c>
      <c r="C301" s="93"/>
      <c r="D301" s="93"/>
      <c r="E301" s="93"/>
      <c r="F301" s="93"/>
      <c r="G301" s="93"/>
      <c r="H301" s="93"/>
      <c r="I301" s="94"/>
      <c r="J301" s="49"/>
    </row>
    <row r="302">
      <c r="A302" s="49"/>
      <c r="B302" s="189" t="s">
        <v>232</v>
      </c>
      <c r="C302" s="8" t="s">
        <v>204</v>
      </c>
      <c r="D302" s="8" t="s">
        <v>205</v>
      </c>
      <c r="E302" s="5" t="s">
        <v>206</v>
      </c>
      <c r="F302" s="110"/>
      <c r="G302" s="110"/>
      <c r="H302" s="110"/>
      <c r="I302" s="215"/>
      <c r="J302" s="49"/>
    </row>
    <row r="303">
      <c r="A303" s="49"/>
      <c r="B303" s="189" t="s">
        <v>385</v>
      </c>
      <c r="C303" s="75" t="str">
        <f>'A completar'!C271</f>
        <v/>
      </c>
      <c r="D303" s="2"/>
      <c r="E303" s="5" t="s">
        <v>386</v>
      </c>
      <c r="F303" s="197"/>
      <c r="G303" s="197"/>
      <c r="H303" s="197"/>
      <c r="I303" s="198"/>
      <c r="J303" s="49"/>
    </row>
    <row r="304">
      <c r="A304" s="49"/>
      <c r="B304" s="111" t="s">
        <v>387</v>
      </c>
      <c r="C304" s="75" t="str">
        <f>'A completar'!C272</f>
        <v/>
      </c>
      <c r="D304" s="2"/>
      <c r="E304" s="8" t="s">
        <v>388</v>
      </c>
      <c r="F304" s="197"/>
      <c r="G304" s="197"/>
      <c r="H304" s="197"/>
      <c r="I304" s="198"/>
      <c r="J304" s="49"/>
    </row>
    <row r="305">
      <c r="A305" s="49"/>
      <c r="B305" s="111" t="s">
        <v>389</v>
      </c>
      <c r="C305" s="75" t="str">
        <f>'A completar'!C273</f>
        <v/>
      </c>
      <c r="D305" s="2"/>
      <c r="E305" s="8" t="s">
        <v>57</v>
      </c>
      <c r="F305" s="197"/>
      <c r="G305" s="197"/>
      <c r="H305" s="197"/>
      <c r="I305" s="198"/>
      <c r="J305" s="49"/>
    </row>
    <row r="306">
      <c r="A306" s="49"/>
      <c r="B306" s="216" t="s">
        <v>182</v>
      </c>
      <c r="C306" s="109" t="str">
        <f>'A completar'!C274</f>
        <v/>
      </c>
      <c r="D306" s="109" t="str">
        <f>'A completar'!C275</f>
        <v/>
      </c>
      <c r="E306" s="8">
        <v>3.0</v>
      </c>
      <c r="F306" s="197"/>
      <c r="G306" s="197"/>
      <c r="H306" s="197"/>
      <c r="I306" s="198"/>
      <c r="J306" s="49"/>
    </row>
    <row r="307">
      <c r="A307" s="49"/>
      <c r="B307" s="217" t="s">
        <v>183</v>
      </c>
      <c r="C307" s="109" t="str">
        <f>'A completar'!C276</f>
        <v/>
      </c>
      <c r="D307" s="109" t="str">
        <f>'A completar'!C277</f>
        <v/>
      </c>
      <c r="E307" s="8">
        <v>3.0</v>
      </c>
      <c r="F307" s="218"/>
      <c r="G307" s="218"/>
      <c r="H307" s="218"/>
      <c r="I307" s="219"/>
      <c r="J307" s="49"/>
    </row>
    <row r="308">
      <c r="A308" s="49"/>
      <c r="B308" s="118" t="s">
        <v>212</v>
      </c>
      <c r="C308" s="79"/>
      <c r="D308" s="79"/>
      <c r="E308" s="79"/>
      <c r="F308" s="79"/>
      <c r="G308" s="79"/>
      <c r="H308" s="79"/>
      <c r="I308" s="80"/>
      <c r="J308" s="49"/>
    </row>
    <row r="309">
      <c r="A309" s="49"/>
      <c r="B309" s="220" t="str">
        <f>IF(C303="OK",
"Se realiza una correcta prueba de frenado.",
"Se presenta un déficit en la prueba de frenado.")
</f>
        <v>Se presenta un déficit en la prueba de frenado.</v>
      </c>
      <c r="C309" s="98"/>
      <c r="D309" s="98"/>
      <c r="E309" s="98"/>
      <c r="F309" s="98"/>
      <c r="G309" s="98"/>
      <c r="H309" s="98"/>
      <c r="I309" s="99"/>
      <c r="J309" s="49"/>
    </row>
    <row r="310">
      <c r="A310" s="49"/>
      <c r="B310" s="220" t="str">
        <f>IF(C304&lt;=9.5,
"Se presenta una correcta prueba de agilidad T Test.",
"Se presenta un déficit en la prueba de agilidad T Test.")
</f>
        <v>Se presenta una correcta prueba de agilidad T Test.</v>
      </c>
      <c r="C310" s="98"/>
      <c r="D310" s="98"/>
      <c r="E310" s="98"/>
      <c r="F310" s="98"/>
      <c r="G310" s="98"/>
      <c r="H310" s="98"/>
      <c r="I310" s="99"/>
      <c r="J310" s="49"/>
    </row>
    <row r="311">
      <c r="A311" s="49"/>
      <c r="B311" s="220" t="str">
        <f>IF(AND(C306&lt;=3,D306&lt;=3),
"Se presenta un correcto cambio de dirección a 45º en ambas piernas.",
IF(AND(C306&gt;3,D306&lt;=3),
"Se presenta un déficit en el cambio de dirección a 45º en la pierna derecha.",
IF(AND(C306&lt;=3,D306&gt;3),
"Se presenta un déficit en el cambio de dirección a 45º en la pierna izquierda.",
"Se presenta un déficit en el cambio de dirección a 45º en ambas piernas.")))
</f>
        <v>Se presenta un correcto cambio de dirección a 45º en ambas piernas.</v>
      </c>
      <c r="C311" s="98"/>
      <c r="D311" s="98"/>
      <c r="E311" s="98"/>
      <c r="F311" s="98"/>
      <c r="G311" s="98"/>
      <c r="H311" s="98"/>
      <c r="I311" s="99"/>
      <c r="J311" s="49"/>
    </row>
    <row r="312">
      <c r="A312" s="49"/>
      <c r="B312" s="220" t="str">
        <f>IF(AND(C307&lt;=3,D307&lt;=3),
"Se presenta un correcto cambio de dirección a 90º en ambas piernas.",
IF(AND(C307&gt;3,D307&lt;=3),
"Se presenta un déficit en el cambio de dirección a 90º en la pierna derecha.",
IF(AND(C307&lt;=3,D307&gt;3),
"Se presenta un déficit en el cambio de dirección a 90º en la pierna izquierda.",
"Se presenta un déficit en el cambio de dirección a 90º en ambas piernas.")))
</f>
        <v>Se presenta un correcto cambio de dirección a 90º en ambas piernas.</v>
      </c>
      <c r="C312" s="98"/>
      <c r="D312" s="98"/>
      <c r="E312" s="98"/>
      <c r="F312" s="98"/>
      <c r="G312" s="98"/>
      <c r="H312" s="98"/>
      <c r="I312" s="99"/>
      <c r="J312" s="49"/>
    </row>
    <row r="313">
      <c r="A313" s="49"/>
      <c r="B313" s="92" t="s">
        <v>390</v>
      </c>
      <c r="C313" s="93"/>
      <c r="D313" s="93"/>
      <c r="E313" s="93"/>
      <c r="F313" s="93"/>
      <c r="G313" s="93"/>
      <c r="H313" s="93"/>
      <c r="I313" s="94"/>
      <c r="J313" s="49"/>
    </row>
    <row r="314">
      <c r="A314" s="49"/>
      <c r="B314" s="95" t="s">
        <v>391</v>
      </c>
      <c r="C314" s="5" t="s">
        <v>392</v>
      </c>
      <c r="D314" s="5" t="s">
        <v>206</v>
      </c>
      <c r="E314" s="124"/>
      <c r="F314" s="124"/>
      <c r="G314" s="124"/>
      <c r="H314" s="124"/>
      <c r="I314" s="60"/>
      <c r="J314" s="49"/>
    </row>
    <row r="315">
      <c r="A315" s="49"/>
      <c r="B315" s="149" t="s">
        <v>187</v>
      </c>
      <c r="C315" s="69" t="str">
        <f>'A completar'!C280</f>
        <v/>
      </c>
      <c r="D315" s="5" t="s">
        <v>393</v>
      </c>
      <c r="E315" s="47"/>
      <c r="F315" s="47"/>
      <c r="G315" s="47"/>
      <c r="H315" s="47"/>
      <c r="I315" s="60"/>
      <c r="J315" s="49"/>
    </row>
    <row r="316">
      <c r="A316" s="49"/>
      <c r="B316" s="152" t="s">
        <v>185</v>
      </c>
      <c r="C316" s="141" t="str">
        <f>'A completar'!C278</f>
        <v/>
      </c>
      <c r="D316" s="8" t="s">
        <v>394</v>
      </c>
      <c r="E316" s="56"/>
      <c r="F316" s="56"/>
      <c r="G316" s="56"/>
      <c r="H316" s="56"/>
      <c r="I316" s="57"/>
      <c r="J316" s="49"/>
    </row>
    <row r="317">
      <c r="A317" s="49"/>
      <c r="B317" s="152" t="s">
        <v>186</v>
      </c>
      <c r="C317" s="141" t="str">
        <f>'A completar'!C279</f>
        <v/>
      </c>
      <c r="D317" s="8" t="s">
        <v>395</v>
      </c>
      <c r="E317" s="56"/>
      <c r="F317" s="56"/>
      <c r="G317" s="56"/>
      <c r="H317" s="56"/>
      <c r="I317" s="57"/>
      <c r="J317" s="49"/>
    </row>
    <row r="318">
      <c r="A318" s="49"/>
      <c r="B318" s="107" t="s">
        <v>212</v>
      </c>
      <c r="C318" s="79"/>
      <c r="D318" s="79"/>
      <c r="E318" s="79"/>
      <c r="F318" s="79"/>
      <c r="G318" s="79"/>
      <c r="H318" s="79"/>
      <c r="I318" s="80"/>
      <c r="J318" s="49"/>
    </row>
    <row r="319">
      <c r="A319" s="49"/>
      <c r="B319" s="221" t="str">
        <f>IF(C315&gt;=81, "La puntuación del cuestionario auto reportado se encuentra normal, lo que demuestra una sensación de seguridad y confianza en la función de los isquiotibiales."
   ,"La puntuación del cuestionario auto reportado se encuentra disminuida, lo que demuestra una falta de seguridad y confianza en la función de los isquiotibiales."
   )
</f>
        <v>La puntuación del cuestionario auto reportado se encuentra disminuida, lo que demuestra una falta de seguridad y confianza en la función de los isquiotibiales.</v>
      </c>
      <c r="I319" s="60"/>
      <c r="J319" s="49"/>
    </row>
    <row r="320">
      <c r="A320" s="49"/>
      <c r="B320" s="221" t="str">
        <f>IF(OR(C316&lt;85, C317&lt;65), 
"La puntuación en los cuestionarios se encuentran bajos, esto se traduce a todavía falta sensación de seguridad, confianza y función de la rodilla.", 
"La puntuación en los cuestionarios auto reportados se encuentran normales, lo que demuestra una sensación de seguridad y confianza en la función de la rodilla.")
</f>
        <v>La puntuación en los cuestionarios se encuentran bajos, esto se traduce a todavía falta sensación de seguridad, confianza y función de la rodilla.</v>
      </c>
      <c r="I320" s="60"/>
      <c r="J320" s="49"/>
    </row>
    <row r="321" ht="24.0" customHeight="1">
      <c r="A321" s="49"/>
      <c r="B321" s="222" t="s">
        <v>396</v>
      </c>
      <c r="C321" s="211"/>
      <c r="D321" s="211"/>
      <c r="E321" s="211"/>
      <c r="F321" s="211"/>
      <c r="G321" s="211"/>
      <c r="H321" s="211"/>
      <c r="I321" s="212"/>
      <c r="J321" s="49"/>
    </row>
    <row r="322">
      <c r="A322" s="49"/>
      <c r="B322" s="223"/>
      <c r="C322" s="224"/>
      <c r="D322" s="224"/>
      <c r="E322" s="224"/>
      <c r="F322" s="224"/>
      <c r="G322" s="224"/>
      <c r="H322" s="224"/>
      <c r="I322" s="225"/>
      <c r="J322" s="49"/>
    </row>
    <row r="323" ht="3.75" customHeight="1">
      <c r="A323" s="49"/>
      <c r="B323" s="49"/>
      <c r="C323" s="49"/>
      <c r="D323" s="49"/>
      <c r="E323" s="49"/>
      <c r="F323" s="49"/>
      <c r="G323" s="49"/>
      <c r="H323" s="49"/>
      <c r="I323" s="49"/>
      <c r="J323" s="49"/>
    </row>
    <row r="324" ht="26.25" customHeight="1">
      <c r="J324" s="226"/>
    </row>
    <row r="325">
      <c r="B325" s="92" t="s">
        <v>397</v>
      </c>
      <c r="C325" s="93"/>
      <c r="D325" s="93"/>
      <c r="E325" s="93"/>
      <c r="F325" s="93"/>
      <c r="G325" s="93"/>
      <c r="H325" s="93"/>
      <c r="I325" s="94"/>
      <c r="J325" s="226"/>
    </row>
    <row r="326">
      <c r="J326" s="226"/>
    </row>
    <row r="327">
      <c r="J327" s="226"/>
    </row>
    <row r="328">
      <c r="J328" s="226"/>
    </row>
    <row r="329">
      <c r="J329" s="226"/>
    </row>
    <row r="330">
      <c r="J330" s="226"/>
    </row>
    <row r="331">
      <c r="J331" s="226"/>
    </row>
    <row r="332">
      <c r="J332" s="226"/>
    </row>
    <row r="333">
      <c r="J333" s="226"/>
    </row>
    <row r="334">
      <c r="J334" s="226"/>
    </row>
    <row r="335">
      <c r="J335" s="226"/>
    </row>
    <row r="336">
      <c r="J336" s="226"/>
    </row>
    <row r="337">
      <c r="J337" s="226"/>
    </row>
    <row r="338">
      <c r="J338" s="226"/>
    </row>
    <row r="339">
      <c r="J339" s="226"/>
    </row>
    <row r="340">
      <c r="J340" s="226"/>
    </row>
    <row r="341">
      <c r="J341" s="226"/>
    </row>
    <row r="342">
      <c r="J342" s="226"/>
    </row>
    <row r="343">
      <c r="J343" s="226"/>
    </row>
    <row r="344">
      <c r="J344" s="226"/>
    </row>
    <row r="345">
      <c r="J345" s="226"/>
    </row>
    <row r="346">
      <c r="J346" s="226"/>
    </row>
    <row r="347">
      <c r="J347" s="226"/>
    </row>
    <row r="348">
      <c r="J348" s="226"/>
    </row>
    <row r="349">
      <c r="J349" s="226"/>
    </row>
    <row r="350">
      <c r="J350" s="226"/>
    </row>
    <row r="351">
      <c r="J351" s="226"/>
    </row>
    <row r="352">
      <c r="J352" s="226"/>
    </row>
    <row r="353">
      <c r="J353" s="226"/>
    </row>
    <row r="354">
      <c r="J354" s="226"/>
    </row>
    <row r="355">
      <c r="B355" s="92" t="s">
        <v>398</v>
      </c>
      <c r="C355" s="93"/>
      <c r="D355" s="93"/>
      <c r="E355" s="93"/>
      <c r="F355" s="93"/>
      <c r="G355" s="93"/>
      <c r="H355" s="93"/>
      <c r="I355" s="94"/>
      <c r="J355" s="226"/>
    </row>
    <row r="356">
      <c r="J356" s="226"/>
    </row>
    <row r="357">
      <c r="J357" s="226"/>
    </row>
    <row r="358">
      <c r="J358" s="226"/>
    </row>
    <row r="359">
      <c r="J359" s="226"/>
    </row>
    <row r="360">
      <c r="J360" s="226"/>
    </row>
    <row r="361">
      <c r="J361" s="226"/>
    </row>
    <row r="362">
      <c r="J362" s="226"/>
    </row>
    <row r="363">
      <c r="J363" s="226"/>
    </row>
    <row r="364">
      <c r="J364" s="226"/>
    </row>
    <row r="365">
      <c r="J365" s="226"/>
    </row>
    <row r="366">
      <c r="J366" s="226"/>
    </row>
    <row r="367">
      <c r="J367" s="226"/>
    </row>
    <row r="368">
      <c r="J368" s="226"/>
    </row>
    <row r="369">
      <c r="J369" s="226"/>
    </row>
    <row r="370">
      <c r="J370" s="226"/>
    </row>
    <row r="371">
      <c r="J371" s="226"/>
    </row>
    <row r="372">
      <c r="J372" s="226"/>
    </row>
    <row r="373">
      <c r="J373" s="226"/>
    </row>
    <row r="374">
      <c r="B374" s="92" t="s">
        <v>277</v>
      </c>
      <c r="C374" s="93"/>
      <c r="D374" s="93"/>
      <c r="E374" s="93"/>
      <c r="F374" s="93"/>
      <c r="G374" s="93"/>
      <c r="H374" s="93"/>
      <c r="I374" s="94"/>
      <c r="J374" s="226"/>
    </row>
    <row r="375">
      <c r="J375" s="226"/>
    </row>
    <row r="376">
      <c r="J376" s="226"/>
    </row>
    <row r="377">
      <c r="J377" s="226"/>
    </row>
    <row r="378">
      <c r="J378" s="226"/>
    </row>
    <row r="379">
      <c r="J379" s="226"/>
    </row>
    <row r="380">
      <c r="J380" s="226"/>
    </row>
    <row r="381">
      <c r="J381" s="226"/>
    </row>
    <row r="382">
      <c r="J382" s="226"/>
    </row>
    <row r="383">
      <c r="J383" s="226"/>
    </row>
    <row r="384">
      <c r="J384" s="226"/>
    </row>
    <row r="385">
      <c r="J385" s="226"/>
    </row>
    <row r="386">
      <c r="J386" s="226"/>
    </row>
    <row r="387">
      <c r="J387" s="226"/>
    </row>
    <row r="388">
      <c r="J388" s="226"/>
    </row>
    <row r="389">
      <c r="J389" s="226"/>
    </row>
    <row r="390">
      <c r="J390" s="226"/>
    </row>
    <row r="391">
      <c r="J391" s="226"/>
    </row>
    <row r="392">
      <c r="J392" s="226"/>
    </row>
    <row r="393">
      <c r="J393" s="226"/>
    </row>
    <row r="394">
      <c r="J394" s="226"/>
    </row>
    <row r="395">
      <c r="J395" s="226"/>
    </row>
    <row r="396">
      <c r="J396" s="226"/>
    </row>
    <row r="397">
      <c r="J397" s="226"/>
    </row>
    <row r="398">
      <c r="J398" s="226"/>
    </row>
    <row r="399">
      <c r="J399" s="226"/>
    </row>
    <row r="400">
      <c r="J400" s="226"/>
    </row>
    <row r="401">
      <c r="J401" s="226"/>
    </row>
    <row r="402">
      <c r="J402" s="226"/>
    </row>
    <row r="403">
      <c r="J403" s="226"/>
    </row>
    <row r="404">
      <c r="B404" s="92" t="s">
        <v>295</v>
      </c>
      <c r="C404" s="93"/>
      <c r="D404" s="93"/>
      <c r="E404" s="93"/>
      <c r="F404" s="93"/>
      <c r="G404" s="93"/>
      <c r="H404" s="93"/>
      <c r="I404" s="94"/>
      <c r="J404" s="226"/>
    </row>
    <row r="405">
      <c r="J405" s="226"/>
    </row>
    <row r="406">
      <c r="J406" s="226"/>
    </row>
    <row r="407">
      <c r="J407" s="226"/>
    </row>
    <row r="408">
      <c r="J408" s="226"/>
    </row>
    <row r="409">
      <c r="J409" s="226"/>
    </row>
    <row r="410">
      <c r="J410" s="226"/>
    </row>
    <row r="411">
      <c r="J411" s="226"/>
    </row>
    <row r="412">
      <c r="J412" s="226"/>
    </row>
    <row r="413">
      <c r="J413" s="226"/>
    </row>
    <row r="414">
      <c r="J414" s="226"/>
    </row>
    <row r="415">
      <c r="J415" s="226"/>
    </row>
    <row r="416">
      <c r="J416" s="226"/>
    </row>
    <row r="417">
      <c r="J417" s="226"/>
    </row>
    <row r="418">
      <c r="J418" s="226"/>
    </row>
    <row r="419">
      <c r="J419" s="226"/>
    </row>
    <row r="420">
      <c r="B420" s="92" t="s">
        <v>301</v>
      </c>
      <c r="C420" s="93"/>
      <c r="D420" s="93"/>
      <c r="E420" s="93"/>
      <c r="F420" s="93"/>
      <c r="G420" s="93"/>
      <c r="H420" s="93"/>
      <c r="I420" s="94"/>
      <c r="J420" s="226"/>
    </row>
    <row r="421">
      <c r="J421" s="226"/>
    </row>
    <row r="422">
      <c r="J422" s="226"/>
    </row>
    <row r="423">
      <c r="J423" s="226"/>
    </row>
    <row r="424">
      <c r="J424" s="226"/>
    </row>
    <row r="425">
      <c r="J425" s="226"/>
    </row>
    <row r="426">
      <c r="J426" s="226"/>
    </row>
    <row r="427">
      <c r="J427" s="226"/>
    </row>
    <row r="428">
      <c r="J428" s="226"/>
    </row>
    <row r="429">
      <c r="J429" s="226"/>
    </row>
    <row r="430">
      <c r="J430" s="226"/>
    </row>
    <row r="431">
      <c r="J431" s="226"/>
    </row>
    <row r="432">
      <c r="J432" s="226"/>
    </row>
    <row r="433">
      <c r="J433" s="226"/>
    </row>
    <row r="434">
      <c r="J434" s="226"/>
    </row>
    <row r="435">
      <c r="J435" s="226"/>
    </row>
    <row r="436">
      <c r="J436" s="226"/>
    </row>
    <row r="437">
      <c r="J437" s="226"/>
    </row>
    <row r="438">
      <c r="J438" s="226"/>
    </row>
    <row r="439">
      <c r="J439" s="226"/>
    </row>
    <row r="440">
      <c r="J440" s="226"/>
    </row>
    <row r="441">
      <c r="J441" s="226"/>
    </row>
    <row r="442">
      <c r="J442" s="226"/>
    </row>
    <row r="443">
      <c r="J443" s="226"/>
    </row>
    <row r="444">
      <c r="J444" s="226"/>
    </row>
    <row r="445">
      <c r="J445" s="226"/>
    </row>
    <row r="446">
      <c r="J446" s="226"/>
    </row>
    <row r="447">
      <c r="J447" s="226"/>
    </row>
    <row r="448">
      <c r="J448" s="226"/>
    </row>
    <row r="449">
      <c r="J449" s="226"/>
    </row>
    <row r="450">
      <c r="B450" s="92" t="s">
        <v>316</v>
      </c>
      <c r="C450" s="93"/>
      <c r="D450" s="93"/>
      <c r="E450" s="93"/>
      <c r="F450" s="93"/>
      <c r="G450" s="93"/>
      <c r="H450" s="93"/>
      <c r="I450" s="94"/>
      <c r="J450" s="226"/>
    </row>
    <row r="451">
      <c r="J451" s="226"/>
    </row>
    <row r="452">
      <c r="J452" s="226"/>
    </row>
    <row r="453">
      <c r="J453" s="226"/>
    </row>
    <row r="454">
      <c r="J454" s="226"/>
    </row>
    <row r="455">
      <c r="J455" s="226"/>
    </row>
    <row r="456">
      <c r="J456" s="226"/>
    </row>
    <row r="457">
      <c r="J457" s="226"/>
    </row>
    <row r="458">
      <c r="J458" s="226"/>
    </row>
    <row r="459">
      <c r="J459" s="226"/>
    </row>
    <row r="460">
      <c r="J460" s="226"/>
    </row>
    <row r="461">
      <c r="J461" s="226"/>
    </row>
    <row r="462">
      <c r="J462" s="226"/>
    </row>
    <row r="463">
      <c r="J463" s="226"/>
    </row>
    <row r="464">
      <c r="J464" s="226"/>
    </row>
    <row r="465">
      <c r="J465" s="226"/>
    </row>
    <row r="466">
      <c r="B466" s="92" t="s">
        <v>323</v>
      </c>
      <c r="C466" s="93"/>
      <c r="D466" s="93"/>
      <c r="E466" s="93"/>
      <c r="F466" s="93"/>
      <c r="G466" s="93"/>
      <c r="H466" s="93"/>
      <c r="I466" s="94"/>
      <c r="J466" s="226"/>
    </row>
    <row r="467">
      <c r="J467" s="226"/>
    </row>
    <row r="468">
      <c r="J468" s="226"/>
    </row>
    <row r="469">
      <c r="J469" s="226"/>
    </row>
    <row r="470">
      <c r="J470" s="226"/>
    </row>
    <row r="471">
      <c r="J471" s="226"/>
    </row>
    <row r="472">
      <c r="J472" s="226"/>
    </row>
    <row r="473">
      <c r="J473" s="226"/>
    </row>
    <row r="474">
      <c r="J474" s="226"/>
    </row>
    <row r="475">
      <c r="J475" s="226"/>
    </row>
    <row r="476">
      <c r="J476" s="226"/>
    </row>
    <row r="477">
      <c r="J477" s="226"/>
    </row>
    <row r="478">
      <c r="J478" s="226"/>
    </row>
    <row r="479">
      <c r="J479" s="226"/>
    </row>
    <row r="480">
      <c r="J480" s="226"/>
    </row>
    <row r="481">
      <c r="J481" s="226"/>
    </row>
    <row r="482">
      <c r="B482" s="92" t="s">
        <v>399</v>
      </c>
      <c r="C482" s="93"/>
      <c r="D482" s="93"/>
      <c r="E482" s="93"/>
      <c r="F482" s="93"/>
      <c r="G482" s="93"/>
      <c r="H482" s="93"/>
      <c r="I482" s="94"/>
      <c r="J482" s="226"/>
    </row>
    <row r="483">
      <c r="J483" s="226"/>
    </row>
    <row r="484">
      <c r="J484" s="226"/>
    </row>
    <row r="485">
      <c r="J485" s="226"/>
    </row>
    <row r="486">
      <c r="J486" s="226"/>
    </row>
    <row r="487">
      <c r="J487" s="226"/>
    </row>
    <row r="488">
      <c r="J488" s="226"/>
    </row>
    <row r="489">
      <c r="J489" s="226"/>
    </row>
    <row r="490">
      <c r="J490" s="226"/>
    </row>
    <row r="491">
      <c r="J491" s="226"/>
    </row>
    <row r="492">
      <c r="J492" s="226"/>
    </row>
    <row r="493">
      <c r="J493" s="226"/>
    </row>
    <row r="494">
      <c r="J494" s="226"/>
    </row>
    <row r="495">
      <c r="J495" s="226"/>
    </row>
    <row r="496">
      <c r="J496" s="226"/>
    </row>
    <row r="497">
      <c r="J497" s="226"/>
    </row>
    <row r="498">
      <c r="B498" s="92" t="s">
        <v>334</v>
      </c>
      <c r="C498" s="93"/>
      <c r="D498" s="93"/>
      <c r="E498" s="93"/>
      <c r="F498" s="93"/>
      <c r="G498" s="93"/>
      <c r="H498" s="93"/>
      <c r="I498" s="94"/>
      <c r="J498" s="226"/>
    </row>
    <row r="499">
      <c r="J499" s="226"/>
    </row>
    <row r="500">
      <c r="J500" s="226"/>
    </row>
    <row r="501">
      <c r="J501" s="226"/>
    </row>
    <row r="502">
      <c r="J502" s="226"/>
    </row>
    <row r="503">
      <c r="J503" s="226"/>
    </row>
    <row r="504">
      <c r="J504" s="226"/>
    </row>
    <row r="505">
      <c r="J505" s="226"/>
    </row>
    <row r="506">
      <c r="J506" s="226"/>
    </row>
    <row r="507">
      <c r="J507" s="226"/>
    </row>
    <row r="508">
      <c r="J508" s="226"/>
    </row>
    <row r="509">
      <c r="J509" s="226"/>
    </row>
    <row r="510">
      <c r="J510" s="226"/>
    </row>
    <row r="511">
      <c r="J511" s="226"/>
    </row>
    <row r="512">
      <c r="J512" s="226"/>
    </row>
    <row r="513">
      <c r="J513" s="226"/>
    </row>
    <row r="514">
      <c r="J514" s="226"/>
    </row>
    <row r="515">
      <c r="J515" s="226"/>
    </row>
    <row r="516">
      <c r="J516" s="226"/>
    </row>
    <row r="517">
      <c r="J517" s="226"/>
    </row>
    <row r="518">
      <c r="J518" s="226"/>
    </row>
    <row r="519">
      <c r="J519" s="226"/>
    </row>
    <row r="520">
      <c r="J520" s="226"/>
    </row>
    <row r="521">
      <c r="J521" s="226"/>
    </row>
    <row r="522">
      <c r="J522" s="226"/>
    </row>
    <row r="523">
      <c r="J523" s="226"/>
    </row>
    <row r="524">
      <c r="J524" s="226"/>
    </row>
    <row r="525">
      <c r="J525" s="226"/>
    </row>
    <row r="526">
      <c r="J526" s="226"/>
    </row>
    <row r="527">
      <c r="J527" s="226"/>
    </row>
    <row r="528">
      <c r="J528" s="226"/>
    </row>
    <row r="529">
      <c r="B529" s="92" t="s">
        <v>400</v>
      </c>
      <c r="C529" s="93"/>
      <c r="D529" s="93"/>
      <c r="E529" s="93"/>
      <c r="F529" s="93"/>
      <c r="G529" s="93"/>
      <c r="H529" s="93"/>
      <c r="I529" s="94"/>
      <c r="J529" s="226"/>
    </row>
    <row r="530">
      <c r="B530" s="56"/>
      <c r="C530" s="56"/>
      <c r="D530" s="56"/>
      <c r="E530" s="56"/>
      <c r="F530" s="56"/>
      <c r="G530" s="56"/>
      <c r="H530" s="56"/>
      <c r="I530" s="56"/>
      <c r="J530" s="226"/>
    </row>
    <row r="531">
      <c r="B531" s="56"/>
      <c r="C531" s="56"/>
      <c r="D531" s="56"/>
      <c r="E531" s="56"/>
      <c r="F531" s="56"/>
      <c r="G531" s="56"/>
      <c r="H531" s="56"/>
      <c r="I531" s="56"/>
      <c r="J531" s="226"/>
    </row>
    <row r="532">
      <c r="B532" s="56"/>
      <c r="C532" s="56"/>
      <c r="D532" s="56"/>
      <c r="E532" s="56"/>
      <c r="F532" s="56"/>
      <c r="G532" s="56"/>
      <c r="H532" s="56"/>
      <c r="I532" s="56"/>
      <c r="J532" s="226"/>
    </row>
    <row r="533">
      <c r="B533" s="56"/>
      <c r="C533" s="56"/>
      <c r="D533" s="56"/>
      <c r="E533" s="56"/>
      <c r="F533" s="56"/>
      <c r="G533" s="56"/>
      <c r="H533" s="56"/>
      <c r="I533" s="56"/>
      <c r="J533" s="226"/>
    </row>
    <row r="534">
      <c r="B534" s="56"/>
      <c r="C534" s="56"/>
      <c r="D534" s="56"/>
      <c r="E534" s="56"/>
      <c r="F534" s="56"/>
      <c r="G534" s="56"/>
      <c r="H534" s="56"/>
      <c r="I534" s="56"/>
      <c r="J534" s="226"/>
    </row>
    <row r="535">
      <c r="B535" s="56"/>
      <c r="C535" s="56"/>
      <c r="D535" s="56"/>
      <c r="E535" s="56"/>
      <c r="F535" s="56"/>
      <c r="G535" s="56"/>
      <c r="H535" s="56"/>
      <c r="I535" s="56"/>
      <c r="J535" s="226"/>
    </row>
    <row r="536">
      <c r="B536" s="56"/>
      <c r="C536" s="56"/>
      <c r="D536" s="56"/>
      <c r="E536" s="56"/>
      <c r="F536" s="56"/>
      <c r="G536" s="56"/>
      <c r="H536" s="56"/>
      <c r="I536" s="56"/>
      <c r="J536" s="226"/>
    </row>
    <row r="537">
      <c r="B537" s="56"/>
      <c r="C537" s="56"/>
      <c r="D537" s="56"/>
      <c r="E537" s="56"/>
      <c r="F537" s="56"/>
      <c r="G537" s="56"/>
      <c r="H537" s="56"/>
      <c r="I537" s="56"/>
      <c r="J537" s="226"/>
    </row>
    <row r="538">
      <c r="B538" s="56"/>
      <c r="C538" s="56"/>
      <c r="D538" s="56"/>
      <c r="E538" s="56"/>
      <c r="F538" s="56"/>
      <c r="G538" s="56"/>
      <c r="H538" s="56"/>
      <c r="I538" s="56"/>
      <c r="J538" s="226"/>
    </row>
    <row r="539">
      <c r="B539" s="56"/>
      <c r="C539" s="56"/>
      <c r="D539" s="56"/>
      <c r="E539" s="56"/>
      <c r="F539" s="56"/>
      <c r="G539" s="56"/>
      <c r="H539" s="56"/>
      <c r="I539" s="56"/>
      <c r="J539" s="226"/>
    </row>
    <row r="540">
      <c r="B540" s="56"/>
      <c r="C540" s="56"/>
      <c r="D540" s="56"/>
      <c r="E540" s="56"/>
      <c r="F540" s="56"/>
      <c r="G540" s="56"/>
      <c r="H540" s="56"/>
      <c r="I540" s="56"/>
      <c r="J540" s="226"/>
    </row>
    <row r="541">
      <c r="B541" s="56"/>
      <c r="C541" s="56"/>
      <c r="D541" s="56"/>
      <c r="E541" s="56"/>
      <c r="F541" s="56"/>
      <c r="G541" s="56"/>
      <c r="H541" s="56"/>
      <c r="I541" s="56"/>
      <c r="J541" s="226"/>
    </row>
    <row r="542">
      <c r="B542" s="56"/>
      <c r="C542" s="56"/>
      <c r="D542" s="56"/>
      <c r="E542" s="56"/>
      <c r="F542" s="56"/>
      <c r="G542" s="56"/>
      <c r="H542" s="56"/>
      <c r="I542" s="56"/>
      <c r="J542" s="226"/>
    </row>
    <row r="543">
      <c r="B543" s="56"/>
      <c r="C543" s="56"/>
      <c r="D543" s="56"/>
      <c r="E543" s="56"/>
      <c r="F543" s="56"/>
      <c r="G543" s="56"/>
      <c r="H543" s="56"/>
      <c r="I543" s="56"/>
      <c r="J543" s="226"/>
    </row>
    <row r="544">
      <c r="B544" s="56"/>
      <c r="C544" s="56"/>
      <c r="D544" s="56"/>
      <c r="E544" s="56"/>
      <c r="F544" s="56"/>
      <c r="G544" s="56"/>
      <c r="H544" s="56"/>
      <c r="I544" s="56"/>
      <c r="J544" s="226"/>
    </row>
    <row r="545">
      <c r="B545" s="56"/>
      <c r="C545" s="56"/>
      <c r="D545" s="56"/>
      <c r="E545" s="56"/>
      <c r="F545" s="56"/>
      <c r="G545" s="56"/>
      <c r="H545" s="56"/>
      <c r="I545" s="56"/>
      <c r="J545" s="226"/>
    </row>
    <row r="546">
      <c r="B546" s="92" t="s">
        <v>347</v>
      </c>
      <c r="C546" s="93"/>
      <c r="D546" s="93"/>
      <c r="E546" s="93"/>
      <c r="F546" s="93"/>
      <c r="G546" s="93"/>
      <c r="H546" s="93"/>
      <c r="I546" s="94"/>
      <c r="J546" s="226"/>
    </row>
    <row r="547">
      <c r="J547" s="226"/>
    </row>
    <row r="548">
      <c r="J548" s="226"/>
    </row>
    <row r="549">
      <c r="J549" s="226"/>
    </row>
    <row r="550">
      <c r="J550" s="226"/>
    </row>
    <row r="551">
      <c r="J551" s="226"/>
    </row>
    <row r="552">
      <c r="J552" s="226"/>
    </row>
    <row r="553">
      <c r="J553" s="226"/>
    </row>
    <row r="554">
      <c r="J554" s="226"/>
    </row>
    <row r="555">
      <c r="J555" s="226"/>
    </row>
    <row r="556">
      <c r="J556" s="226"/>
    </row>
    <row r="557">
      <c r="J557" s="226"/>
    </row>
    <row r="558">
      <c r="J558" s="226"/>
    </row>
    <row r="559">
      <c r="J559" s="226"/>
    </row>
    <row r="560">
      <c r="J560" s="226"/>
    </row>
    <row r="561">
      <c r="J561" s="226"/>
    </row>
    <row r="562">
      <c r="J562" s="226"/>
    </row>
    <row r="563">
      <c r="B563" s="92" t="s">
        <v>351</v>
      </c>
      <c r="C563" s="93"/>
      <c r="D563" s="93"/>
      <c r="E563" s="93"/>
      <c r="F563" s="93"/>
      <c r="G563" s="93"/>
      <c r="H563" s="93"/>
      <c r="I563" s="94"/>
    </row>
    <row r="564">
      <c r="B564" s="56"/>
      <c r="C564" s="56"/>
      <c r="D564" s="56"/>
      <c r="E564" s="56"/>
      <c r="F564" s="56"/>
      <c r="G564" s="56"/>
      <c r="H564" s="56"/>
      <c r="I564" s="56"/>
    </row>
    <row r="565">
      <c r="B565" s="56"/>
      <c r="C565" s="56"/>
      <c r="D565" s="56"/>
      <c r="E565" s="56"/>
      <c r="F565" s="56"/>
      <c r="G565" s="56"/>
      <c r="H565" s="56"/>
      <c r="I565" s="56"/>
    </row>
    <row r="566">
      <c r="B566" s="56"/>
      <c r="C566" s="56"/>
      <c r="D566" s="56"/>
      <c r="E566" s="56"/>
      <c r="F566" s="56"/>
      <c r="G566" s="56"/>
      <c r="H566" s="56"/>
      <c r="I566" s="56"/>
    </row>
    <row r="567">
      <c r="B567" s="56"/>
      <c r="C567" s="56"/>
      <c r="D567" s="56"/>
      <c r="E567" s="56"/>
      <c r="F567" s="56"/>
      <c r="G567" s="56"/>
      <c r="H567" s="56"/>
      <c r="I567" s="56"/>
    </row>
    <row r="568">
      <c r="B568" s="56"/>
      <c r="C568" s="56"/>
      <c r="D568" s="56"/>
      <c r="E568" s="56"/>
      <c r="F568" s="56"/>
      <c r="G568" s="56"/>
      <c r="H568" s="56"/>
      <c r="I568" s="56"/>
    </row>
    <row r="569">
      <c r="B569" s="56"/>
      <c r="C569" s="56"/>
      <c r="D569" s="56"/>
      <c r="E569" s="56"/>
      <c r="F569" s="56"/>
      <c r="G569" s="56"/>
      <c r="H569" s="56"/>
      <c r="I569" s="56"/>
    </row>
    <row r="570">
      <c r="B570" s="56"/>
      <c r="C570" s="56"/>
      <c r="D570" s="56"/>
      <c r="E570" s="56"/>
      <c r="F570" s="56"/>
      <c r="G570" s="56"/>
      <c r="H570" s="56"/>
      <c r="I570" s="56"/>
    </row>
    <row r="571">
      <c r="B571" s="56"/>
      <c r="C571" s="56"/>
      <c r="D571" s="56"/>
      <c r="E571" s="56"/>
      <c r="F571" s="56"/>
      <c r="G571" s="56"/>
      <c r="H571" s="56"/>
      <c r="I571" s="56"/>
    </row>
    <row r="572">
      <c r="B572" s="56"/>
      <c r="C572" s="56"/>
      <c r="D572" s="56"/>
      <c r="E572" s="56"/>
      <c r="F572" s="56"/>
      <c r="G572" s="56"/>
      <c r="H572" s="56"/>
      <c r="I572" s="56"/>
    </row>
    <row r="573">
      <c r="B573" s="56"/>
      <c r="C573" s="56"/>
      <c r="D573" s="56"/>
      <c r="E573" s="56"/>
      <c r="F573" s="56"/>
      <c r="G573" s="56"/>
      <c r="H573" s="56"/>
      <c r="I573" s="56"/>
    </row>
    <row r="574">
      <c r="B574" s="56"/>
      <c r="C574" s="56"/>
      <c r="D574" s="56"/>
      <c r="E574" s="56"/>
      <c r="F574" s="56"/>
      <c r="G574" s="56"/>
      <c r="H574" s="56"/>
      <c r="I574" s="56"/>
    </row>
    <row r="575">
      <c r="B575" s="56"/>
      <c r="C575" s="56"/>
      <c r="D575" s="56"/>
      <c r="E575" s="56"/>
      <c r="F575" s="56"/>
      <c r="G575" s="56"/>
      <c r="H575" s="56"/>
      <c r="I575" s="56"/>
    </row>
    <row r="576">
      <c r="B576" s="56"/>
      <c r="C576" s="56"/>
      <c r="D576" s="56"/>
      <c r="E576" s="56"/>
      <c r="F576" s="56"/>
      <c r="G576" s="56"/>
      <c r="H576" s="56"/>
      <c r="I576" s="56"/>
    </row>
    <row r="577">
      <c r="B577" s="56"/>
      <c r="C577" s="56"/>
      <c r="D577" s="56"/>
      <c r="E577" s="56"/>
      <c r="F577" s="56"/>
      <c r="G577" s="56"/>
      <c r="H577" s="56"/>
      <c r="I577" s="56"/>
    </row>
    <row r="578">
      <c r="B578" s="92" t="s">
        <v>401</v>
      </c>
      <c r="C578" s="93"/>
      <c r="D578" s="93"/>
      <c r="E578" s="93"/>
      <c r="F578" s="93"/>
      <c r="G578" s="93"/>
      <c r="H578" s="93"/>
      <c r="I578" s="94"/>
      <c r="J578" s="226"/>
    </row>
    <row r="579">
      <c r="J579" s="226"/>
    </row>
    <row r="580">
      <c r="J580" s="226"/>
    </row>
    <row r="581">
      <c r="J581" s="226"/>
    </row>
    <row r="582">
      <c r="J582" s="226"/>
    </row>
    <row r="583">
      <c r="J583" s="226"/>
    </row>
    <row r="584">
      <c r="J584" s="226"/>
    </row>
    <row r="585">
      <c r="J585" s="226"/>
    </row>
    <row r="586">
      <c r="J586" s="226"/>
    </row>
    <row r="587">
      <c r="J587" s="226"/>
    </row>
    <row r="588">
      <c r="J588" s="226"/>
    </row>
    <row r="589">
      <c r="J589" s="226"/>
    </row>
    <row r="590">
      <c r="J590" s="226"/>
    </row>
    <row r="591">
      <c r="J591" s="226"/>
    </row>
    <row r="592">
      <c r="J592" s="226"/>
    </row>
    <row r="593">
      <c r="J593" s="226"/>
    </row>
    <row r="594">
      <c r="J594" s="226"/>
    </row>
    <row r="595">
      <c r="J595" s="226"/>
    </row>
    <row r="596">
      <c r="J596" s="226"/>
    </row>
    <row r="597">
      <c r="J597" s="226"/>
    </row>
    <row r="598">
      <c r="J598" s="226"/>
    </row>
    <row r="599">
      <c r="J599" s="226"/>
    </row>
    <row r="600">
      <c r="J600" s="226"/>
    </row>
    <row r="601">
      <c r="J601" s="226"/>
    </row>
    <row r="602">
      <c r="J602" s="226"/>
    </row>
    <row r="603">
      <c r="J603" s="226"/>
    </row>
    <row r="604">
      <c r="J604" s="226"/>
    </row>
    <row r="605">
      <c r="J605" s="226"/>
    </row>
    <row r="606">
      <c r="J606" s="226"/>
    </row>
    <row r="607">
      <c r="B607" s="92" t="s">
        <v>402</v>
      </c>
      <c r="C607" s="93"/>
      <c r="D607" s="93"/>
      <c r="E607" s="93"/>
      <c r="F607" s="93"/>
      <c r="G607" s="93"/>
      <c r="H607" s="93"/>
      <c r="I607" s="94"/>
      <c r="J607" s="226"/>
    </row>
    <row r="608">
      <c r="J608" s="226"/>
    </row>
    <row r="609">
      <c r="J609" s="226"/>
    </row>
    <row r="610">
      <c r="J610" s="226"/>
    </row>
    <row r="611">
      <c r="J611" s="226"/>
    </row>
    <row r="612">
      <c r="J612" s="226"/>
    </row>
    <row r="613">
      <c r="J613" s="226"/>
    </row>
    <row r="614">
      <c r="J614" s="226"/>
    </row>
    <row r="615">
      <c r="J615" s="226"/>
    </row>
    <row r="616">
      <c r="J616" s="226"/>
    </row>
    <row r="617">
      <c r="J617" s="226"/>
    </row>
    <row r="618">
      <c r="J618" s="226"/>
    </row>
    <row r="619">
      <c r="J619" s="226"/>
    </row>
    <row r="620">
      <c r="J620" s="226"/>
    </row>
    <row r="621">
      <c r="J621" s="226"/>
    </row>
    <row r="622">
      <c r="J622" s="226"/>
    </row>
    <row r="623">
      <c r="J623" s="226"/>
    </row>
    <row r="624">
      <c r="J624" s="226"/>
    </row>
    <row r="625">
      <c r="J625" s="226"/>
    </row>
    <row r="626">
      <c r="J626" s="226"/>
    </row>
    <row r="627">
      <c r="J627" s="226"/>
    </row>
    <row r="628">
      <c r="J628" s="226"/>
    </row>
    <row r="629">
      <c r="J629" s="226"/>
    </row>
    <row r="630">
      <c r="J630" s="226"/>
    </row>
    <row r="631">
      <c r="J631" s="226"/>
    </row>
    <row r="632">
      <c r="J632" s="226"/>
    </row>
    <row r="633">
      <c r="J633" s="226"/>
    </row>
    <row r="634">
      <c r="J634" s="226"/>
    </row>
    <row r="635">
      <c r="J635" s="226"/>
    </row>
    <row r="636">
      <c r="J636" s="226"/>
    </row>
    <row r="637">
      <c r="J637" s="226"/>
    </row>
    <row r="638">
      <c r="J638" s="226"/>
    </row>
    <row r="639">
      <c r="J639" s="226"/>
    </row>
    <row r="640">
      <c r="J640" s="226"/>
    </row>
    <row r="641">
      <c r="J641" s="226"/>
    </row>
    <row r="642">
      <c r="J642" s="226"/>
    </row>
    <row r="643">
      <c r="J643" s="226"/>
    </row>
    <row r="644">
      <c r="J644" s="226"/>
    </row>
    <row r="645">
      <c r="J645" s="226"/>
    </row>
    <row r="646">
      <c r="J646" s="226"/>
    </row>
    <row r="647">
      <c r="J647" s="226"/>
    </row>
    <row r="648">
      <c r="J648" s="226"/>
    </row>
    <row r="649">
      <c r="J649" s="226"/>
    </row>
    <row r="650">
      <c r="B650" s="92" t="s">
        <v>403</v>
      </c>
      <c r="C650" s="93"/>
      <c r="D650" s="93"/>
      <c r="E650" s="93"/>
      <c r="F650" s="93"/>
      <c r="G650" s="93"/>
      <c r="H650" s="93"/>
      <c r="I650" s="94"/>
      <c r="J650" s="226"/>
    </row>
    <row r="651">
      <c r="J651" s="226"/>
    </row>
    <row r="652">
      <c r="J652" s="226"/>
    </row>
    <row r="653">
      <c r="J653" s="226"/>
    </row>
    <row r="654">
      <c r="J654" s="226"/>
    </row>
    <row r="655">
      <c r="J655" s="226"/>
    </row>
    <row r="656">
      <c r="J656" s="226"/>
    </row>
    <row r="657">
      <c r="J657" s="226"/>
    </row>
    <row r="658">
      <c r="J658" s="226"/>
    </row>
    <row r="659">
      <c r="J659" s="226"/>
    </row>
    <row r="660">
      <c r="J660" s="226"/>
    </row>
    <row r="661">
      <c r="J661" s="226"/>
    </row>
    <row r="662">
      <c r="J662" s="226"/>
    </row>
    <row r="663">
      <c r="J663" s="226"/>
    </row>
    <row r="664">
      <c r="J664" s="226"/>
    </row>
    <row r="665">
      <c r="J665" s="226"/>
    </row>
    <row r="666">
      <c r="J666" s="226"/>
    </row>
    <row r="667">
      <c r="J667" s="226"/>
    </row>
    <row r="668">
      <c r="J668" s="226"/>
    </row>
    <row r="669">
      <c r="J669" s="226"/>
    </row>
    <row r="670">
      <c r="J670" s="226"/>
    </row>
    <row r="671">
      <c r="J671" s="226"/>
    </row>
    <row r="672">
      <c r="J672" s="226"/>
    </row>
    <row r="673">
      <c r="J673" s="226"/>
    </row>
    <row r="674">
      <c r="J674" s="226"/>
    </row>
    <row r="675">
      <c r="J675" s="226"/>
    </row>
    <row r="676">
      <c r="J676" s="226"/>
    </row>
    <row r="677">
      <c r="J677" s="226"/>
    </row>
    <row r="678">
      <c r="J678" s="226"/>
    </row>
    <row r="679">
      <c r="J679" s="226"/>
    </row>
    <row r="680">
      <c r="J680" s="226"/>
    </row>
    <row r="681">
      <c r="J681" s="226"/>
    </row>
    <row r="682">
      <c r="J682" s="226"/>
    </row>
    <row r="683">
      <c r="J683" s="226"/>
    </row>
    <row r="684">
      <c r="J684" s="226"/>
    </row>
    <row r="685">
      <c r="J685" s="226"/>
    </row>
    <row r="686">
      <c r="J686" s="226"/>
    </row>
    <row r="687">
      <c r="J687" s="226"/>
    </row>
    <row r="688">
      <c r="J688" s="226"/>
    </row>
    <row r="689">
      <c r="J689" s="226"/>
    </row>
    <row r="690">
      <c r="J690" s="226"/>
    </row>
    <row r="691">
      <c r="J691" s="226"/>
    </row>
    <row r="692">
      <c r="J692" s="226"/>
    </row>
    <row r="693">
      <c r="J693" s="226"/>
    </row>
    <row r="694">
      <c r="J694" s="226"/>
    </row>
    <row r="695">
      <c r="J695" s="226"/>
    </row>
    <row r="696">
      <c r="J696" s="226"/>
    </row>
    <row r="697">
      <c r="J697" s="226"/>
    </row>
    <row r="698">
      <c r="J698" s="226"/>
    </row>
    <row r="699">
      <c r="J699" s="226"/>
    </row>
    <row r="700">
      <c r="J700" s="226"/>
    </row>
    <row r="701">
      <c r="J701" s="226"/>
    </row>
    <row r="702">
      <c r="J702" s="226"/>
    </row>
    <row r="703">
      <c r="J703" s="226"/>
    </row>
    <row r="704">
      <c r="J704" s="226"/>
    </row>
    <row r="705">
      <c r="J705" s="226"/>
    </row>
    <row r="706">
      <c r="J706" s="226"/>
    </row>
    <row r="707">
      <c r="J707" s="226"/>
    </row>
    <row r="708">
      <c r="J708" s="226"/>
    </row>
    <row r="709">
      <c r="J709" s="226"/>
    </row>
    <row r="710">
      <c r="J710" s="226"/>
    </row>
    <row r="711">
      <c r="J711" s="226"/>
    </row>
    <row r="712">
      <c r="J712" s="226"/>
    </row>
    <row r="713">
      <c r="J713" s="226"/>
    </row>
    <row r="714">
      <c r="J714" s="226"/>
    </row>
    <row r="715">
      <c r="J715" s="226"/>
    </row>
    <row r="716">
      <c r="J716" s="226"/>
    </row>
    <row r="717">
      <c r="J717" s="226"/>
    </row>
    <row r="718">
      <c r="J718" s="226"/>
    </row>
    <row r="719">
      <c r="J719" s="226"/>
    </row>
    <row r="720">
      <c r="J720" s="226"/>
    </row>
    <row r="721">
      <c r="J721" s="226"/>
    </row>
    <row r="722">
      <c r="J722" s="226"/>
    </row>
    <row r="723">
      <c r="J723" s="226"/>
    </row>
    <row r="724">
      <c r="J724" s="226"/>
    </row>
    <row r="725">
      <c r="J725" s="226"/>
    </row>
    <row r="726">
      <c r="J726" s="226"/>
    </row>
    <row r="727">
      <c r="J727" s="226"/>
    </row>
    <row r="728">
      <c r="J728" s="226"/>
    </row>
    <row r="729">
      <c r="J729" s="226"/>
    </row>
    <row r="730">
      <c r="J730" s="226"/>
    </row>
    <row r="731">
      <c r="J731" s="226"/>
    </row>
    <row r="732">
      <c r="J732" s="226"/>
    </row>
    <row r="733">
      <c r="J733" s="226"/>
    </row>
    <row r="734">
      <c r="J734" s="226"/>
    </row>
    <row r="735">
      <c r="J735" s="226"/>
    </row>
    <row r="736">
      <c r="J736" s="226"/>
    </row>
    <row r="737">
      <c r="J737" s="226"/>
    </row>
    <row r="738">
      <c r="J738" s="226"/>
    </row>
    <row r="739">
      <c r="J739" s="226"/>
    </row>
    <row r="740">
      <c r="J740" s="226"/>
    </row>
    <row r="741">
      <c r="J741" s="226"/>
    </row>
    <row r="742">
      <c r="J742" s="226"/>
    </row>
    <row r="743">
      <c r="J743" s="226"/>
    </row>
    <row r="744">
      <c r="J744" s="226"/>
    </row>
    <row r="745">
      <c r="J745" s="226"/>
    </row>
    <row r="746">
      <c r="J746" s="226"/>
    </row>
    <row r="747">
      <c r="J747" s="226"/>
    </row>
    <row r="748">
      <c r="J748" s="226"/>
    </row>
    <row r="749">
      <c r="J749" s="226"/>
    </row>
    <row r="750">
      <c r="J750" s="226"/>
    </row>
    <row r="751">
      <c r="J751" s="226"/>
    </row>
    <row r="752">
      <c r="J752" s="226"/>
    </row>
    <row r="753">
      <c r="J753" s="226"/>
    </row>
    <row r="754">
      <c r="J754" s="226"/>
    </row>
    <row r="755">
      <c r="J755" s="226"/>
    </row>
    <row r="756">
      <c r="J756" s="226"/>
    </row>
    <row r="757">
      <c r="J757" s="226"/>
    </row>
    <row r="758">
      <c r="J758" s="226"/>
    </row>
    <row r="759">
      <c r="J759" s="226"/>
    </row>
    <row r="760">
      <c r="J760" s="226"/>
    </row>
    <row r="761">
      <c r="J761" s="226"/>
    </row>
    <row r="762">
      <c r="J762" s="226"/>
    </row>
    <row r="763">
      <c r="J763" s="226"/>
    </row>
    <row r="764">
      <c r="J764" s="226"/>
    </row>
    <row r="765">
      <c r="J765" s="226"/>
    </row>
    <row r="766">
      <c r="J766" s="226"/>
    </row>
    <row r="767">
      <c r="J767" s="226"/>
    </row>
    <row r="768">
      <c r="J768" s="226"/>
    </row>
    <row r="769">
      <c r="J769" s="226"/>
    </row>
    <row r="770">
      <c r="J770" s="226"/>
    </row>
    <row r="771">
      <c r="J771" s="226"/>
    </row>
    <row r="772">
      <c r="J772" s="226"/>
    </row>
    <row r="773">
      <c r="J773" s="226"/>
    </row>
    <row r="774">
      <c r="J774" s="226"/>
    </row>
    <row r="775">
      <c r="J775" s="226"/>
    </row>
    <row r="776">
      <c r="J776" s="226"/>
    </row>
    <row r="777">
      <c r="J777" s="226"/>
    </row>
    <row r="778">
      <c r="J778" s="226"/>
    </row>
    <row r="779">
      <c r="J779" s="226"/>
    </row>
    <row r="780">
      <c r="J780" s="226"/>
    </row>
    <row r="781">
      <c r="J781" s="226"/>
    </row>
    <row r="782">
      <c r="J782" s="226"/>
    </row>
    <row r="783">
      <c r="J783" s="226"/>
    </row>
    <row r="784">
      <c r="J784" s="226"/>
    </row>
    <row r="785">
      <c r="J785" s="226"/>
    </row>
    <row r="786">
      <c r="J786" s="226"/>
    </row>
    <row r="787">
      <c r="J787" s="226"/>
    </row>
    <row r="788">
      <c r="J788" s="226"/>
    </row>
    <row r="789">
      <c r="J789" s="226"/>
    </row>
    <row r="790">
      <c r="J790" s="226"/>
    </row>
    <row r="791">
      <c r="J791" s="226"/>
    </row>
    <row r="792">
      <c r="J792" s="226"/>
    </row>
    <row r="793">
      <c r="J793" s="226"/>
    </row>
    <row r="794">
      <c r="J794" s="226"/>
    </row>
    <row r="795">
      <c r="J795" s="226"/>
    </row>
    <row r="796">
      <c r="J796" s="226"/>
    </row>
    <row r="797">
      <c r="J797" s="226"/>
    </row>
    <row r="798">
      <c r="J798" s="226"/>
    </row>
    <row r="799">
      <c r="J799" s="226"/>
    </row>
    <row r="800">
      <c r="J800" s="226"/>
    </row>
    <row r="801">
      <c r="J801" s="226"/>
    </row>
    <row r="802">
      <c r="J802" s="226"/>
    </row>
    <row r="803">
      <c r="J803" s="226"/>
    </row>
    <row r="804">
      <c r="J804" s="226"/>
    </row>
    <row r="805">
      <c r="J805" s="226"/>
    </row>
    <row r="806">
      <c r="J806" s="226"/>
    </row>
    <row r="807">
      <c r="J807" s="226"/>
    </row>
    <row r="808">
      <c r="J808" s="226"/>
    </row>
    <row r="809">
      <c r="J809" s="226"/>
    </row>
    <row r="810">
      <c r="J810" s="226"/>
    </row>
    <row r="811">
      <c r="J811" s="226"/>
    </row>
    <row r="812">
      <c r="J812" s="226"/>
    </row>
    <row r="813">
      <c r="J813" s="226"/>
    </row>
    <row r="814">
      <c r="J814" s="226"/>
    </row>
    <row r="815">
      <c r="J815" s="226"/>
    </row>
    <row r="816">
      <c r="J816" s="226"/>
    </row>
    <row r="817">
      <c r="J817" s="226"/>
    </row>
    <row r="818">
      <c r="J818" s="226"/>
    </row>
    <row r="819">
      <c r="J819" s="226"/>
    </row>
    <row r="820">
      <c r="J820" s="226"/>
    </row>
    <row r="821">
      <c r="J821" s="226"/>
    </row>
    <row r="822">
      <c r="J822" s="226"/>
    </row>
    <row r="823">
      <c r="J823" s="226"/>
    </row>
    <row r="824">
      <c r="J824" s="226"/>
    </row>
    <row r="825">
      <c r="J825" s="226"/>
    </row>
    <row r="826">
      <c r="J826" s="226"/>
    </row>
    <row r="827">
      <c r="J827" s="226"/>
    </row>
    <row r="828">
      <c r="J828" s="226"/>
    </row>
    <row r="829">
      <c r="J829" s="226"/>
    </row>
    <row r="830">
      <c r="J830" s="226"/>
    </row>
    <row r="831">
      <c r="J831" s="226"/>
    </row>
    <row r="832">
      <c r="J832" s="226"/>
    </row>
    <row r="833">
      <c r="J833" s="226"/>
    </row>
    <row r="834">
      <c r="J834" s="226"/>
    </row>
    <row r="835">
      <c r="J835" s="226"/>
    </row>
    <row r="836">
      <c r="J836" s="226"/>
    </row>
    <row r="837">
      <c r="J837" s="226"/>
    </row>
    <row r="838">
      <c r="J838" s="226"/>
    </row>
    <row r="839">
      <c r="J839" s="226"/>
    </row>
    <row r="840">
      <c r="J840" s="226"/>
    </row>
    <row r="841">
      <c r="J841" s="226"/>
    </row>
    <row r="842">
      <c r="J842" s="226"/>
    </row>
    <row r="843">
      <c r="J843" s="226"/>
    </row>
    <row r="844">
      <c r="J844" s="226"/>
    </row>
    <row r="845">
      <c r="J845" s="226"/>
    </row>
    <row r="846">
      <c r="J846" s="226"/>
    </row>
    <row r="847">
      <c r="J847" s="226"/>
    </row>
    <row r="848">
      <c r="J848" s="226"/>
    </row>
    <row r="849">
      <c r="J849" s="226"/>
    </row>
    <row r="850">
      <c r="J850" s="226"/>
    </row>
    <row r="851">
      <c r="J851" s="226"/>
    </row>
    <row r="852">
      <c r="J852" s="226"/>
    </row>
    <row r="853">
      <c r="J853" s="226"/>
    </row>
    <row r="854">
      <c r="J854" s="226"/>
    </row>
    <row r="855">
      <c r="J855" s="226"/>
    </row>
    <row r="856">
      <c r="J856" s="226"/>
    </row>
    <row r="857">
      <c r="J857" s="226"/>
    </row>
    <row r="858">
      <c r="J858" s="226"/>
    </row>
    <row r="859">
      <c r="J859" s="226"/>
    </row>
    <row r="860">
      <c r="J860" s="226"/>
    </row>
    <row r="861">
      <c r="J861" s="226"/>
    </row>
    <row r="862">
      <c r="J862" s="226"/>
    </row>
    <row r="863">
      <c r="J863" s="226"/>
    </row>
    <row r="864">
      <c r="J864" s="226"/>
    </row>
    <row r="865">
      <c r="J865" s="226"/>
    </row>
    <row r="866">
      <c r="J866" s="226"/>
    </row>
    <row r="867">
      <c r="J867" s="226"/>
    </row>
    <row r="868">
      <c r="J868" s="226"/>
    </row>
    <row r="869">
      <c r="J869" s="226"/>
    </row>
    <row r="870">
      <c r="J870" s="226"/>
    </row>
    <row r="871">
      <c r="J871" s="226"/>
    </row>
    <row r="872">
      <c r="J872" s="226"/>
    </row>
    <row r="873">
      <c r="J873" s="226"/>
    </row>
    <row r="874">
      <c r="J874" s="226"/>
    </row>
    <row r="875">
      <c r="J875" s="226"/>
    </row>
    <row r="876">
      <c r="J876" s="226"/>
    </row>
    <row r="877">
      <c r="J877" s="226"/>
    </row>
    <row r="878">
      <c r="J878" s="226"/>
    </row>
    <row r="879">
      <c r="J879" s="226"/>
    </row>
    <row r="880">
      <c r="J880" s="226"/>
    </row>
    <row r="881">
      <c r="J881" s="226"/>
    </row>
    <row r="882">
      <c r="J882" s="226"/>
    </row>
    <row r="883">
      <c r="J883" s="226"/>
    </row>
    <row r="884">
      <c r="J884" s="226"/>
    </row>
    <row r="885">
      <c r="J885" s="226"/>
    </row>
    <row r="886">
      <c r="J886" s="226"/>
    </row>
    <row r="887">
      <c r="J887" s="226"/>
    </row>
    <row r="888">
      <c r="J888" s="226"/>
    </row>
    <row r="889">
      <c r="J889" s="226"/>
    </row>
    <row r="890">
      <c r="J890" s="226"/>
    </row>
    <row r="891">
      <c r="J891" s="226"/>
    </row>
    <row r="892">
      <c r="J892" s="226"/>
    </row>
    <row r="893">
      <c r="J893" s="226"/>
    </row>
    <row r="894">
      <c r="J894" s="226"/>
    </row>
    <row r="895">
      <c r="J895" s="226"/>
    </row>
    <row r="896">
      <c r="J896" s="226"/>
    </row>
    <row r="897">
      <c r="J897" s="226"/>
    </row>
    <row r="898">
      <c r="J898" s="226"/>
    </row>
    <row r="899">
      <c r="J899" s="226"/>
    </row>
    <row r="900">
      <c r="J900" s="226"/>
    </row>
    <row r="901">
      <c r="J901" s="226"/>
    </row>
    <row r="902">
      <c r="J902" s="226"/>
    </row>
    <row r="903">
      <c r="J903" s="226"/>
    </row>
    <row r="904">
      <c r="J904" s="226"/>
    </row>
    <row r="905">
      <c r="J905" s="226"/>
    </row>
    <row r="906">
      <c r="J906" s="226"/>
    </row>
    <row r="907">
      <c r="J907" s="226"/>
    </row>
    <row r="908">
      <c r="J908" s="226"/>
    </row>
    <row r="909">
      <c r="J909" s="226"/>
    </row>
    <row r="910">
      <c r="J910" s="226"/>
    </row>
    <row r="911">
      <c r="J911" s="226"/>
    </row>
    <row r="912">
      <c r="J912" s="226"/>
    </row>
    <row r="913">
      <c r="J913" s="226"/>
    </row>
    <row r="914">
      <c r="J914" s="226"/>
    </row>
    <row r="915">
      <c r="J915" s="226"/>
    </row>
    <row r="916">
      <c r="J916" s="226"/>
    </row>
    <row r="917">
      <c r="J917" s="226"/>
    </row>
    <row r="918">
      <c r="J918" s="226"/>
    </row>
    <row r="919">
      <c r="J919" s="226"/>
    </row>
    <row r="920">
      <c r="J920" s="226"/>
    </row>
    <row r="921">
      <c r="J921" s="226"/>
    </row>
    <row r="922">
      <c r="J922" s="226"/>
    </row>
    <row r="923">
      <c r="J923" s="226"/>
    </row>
    <row r="924">
      <c r="J924" s="226"/>
    </row>
    <row r="925">
      <c r="J925" s="226"/>
    </row>
    <row r="926">
      <c r="J926" s="226"/>
    </row>
    <row r="927">
      <c r="J927" s="226"/>
    </row>
    <row r="928">
      <c r="J928" s="226"/>
    </row>
    <row r="929">
      <c r="J929" s="226"/>
    </row>
    <row r="930">
      <c r="J930" s="226"/>
    </row>
    <row r="931">
      <c r="J931" s="226"/>
    </row>
    <row r="932">
      <c r="J932" s="226"/>
    </row>
    <row r="933">
      <c r="J933" s="226"/>
    </row>
    <row r="934">
      <c r="J934" s="226"/>
    </row>
    <row r="935">
      <c r="J935" s="226"/>
    </row>
    <row r="936">
      <c r="J936" s="226"/>
    </row>
    <row r="937">
      <c r="J937" s="226"/>
    </row>
    <row r="938">
      <c r="J938" s="226"/>
    </row>
    <row r="939">
      <c r="J939" s="226"/>
    </row>
    <row r="940">
      <c r="J940" s="226"/>
    </row>
    <row r="941">
      <c r="J941" s="226"/>
    </row>
    <row r="942">
      <c r="J942" s="226"/>
    </row>
    <row r="943">
      <c r="J943" s="226"/>
    </row>
    <row r="944">
      <c r="J944" s="226"/>
    </row>
    <row r="945">
      <c r="J945" s="226"/>
    </row>
    <row r="946">
      <c r="J946" s="226"/>
    </row>
    <row r="947">
      <c r="J947" s="226"/>
    </row>
    <row r="948">
      <c r="J948" s="226"/>
    </row>
    <row r="949">
      <c r="J949" s="226"/>
    </row>
    <row r="950">
      <c r="J950" s="226"/>
    </row>
    <row r="951">
      <c r="J951" s="226"/>
    </row>
    <row r="952">
      <c r="J952" s="226"/>
    </row>
    <row r="953">
      <c r="J953" s="226"/>
    </row>
    <row r="954">
      <c r="J954" s="226"/>
    </row>
    <row r="955">
      <c r="J955" s="226"/>
    </row>
    <row r="956">
      <c r="J956" s="226"/>
    </row>
    <row r="957">
      <c r="J957" s="226"/>
    </row>
    <row r="958">
      <c r="J958" s="226"/>
    </row>
    <row r="959">
      <c r="J959" s="226"/>
    </row>
    <row r="960">
      <c r="J960" s="226"/>
    </row>
    <row r="961">
      <c r="J961" s="226"/>
    </row>
    <row r="962">
      <c r="J962" s="226"/>
    </row>
    <row r="963">
      <c r="J963" s="226"/>
    </row>
    <row r="964">
      <c r="J964" s="226"/>
    </row>
    <row r="965">
      <c r="J965" s="226"/>
    </row>
    <row r="966">
      <c r="J966" s="226"/>
    </row>
    <row r="967">
      <c r="J967" s="226"/>
    </row>
    <row r="968">
      <c r="J968" s="226"/>
    </row>
    <row r="969">
      <c r="J969" s="226"/>
    </row>
    <row r="970">
      <c r="J970" s="226"/>
    </row>
    <row r="971">
      <c r="J971" s="226"/>
    </row>
    <row r="972">
      <c r="J972" s="226"/>
    </row>
    <row r="973">
      <c r="J973" s="226"/>
    </row>
    <row r="974">
      <c r="J974" s="226"/>
    </row>
    <row r="975">
      <c r="J975" s="226"/>
    </row>
    <row r="976">
      <c r="J976" s="226"/>
    </row>
    <row r="977">
      <c r="J977" s="226"/>
    </row>
    <row r="978">
      <c r="J978" s="226"/>
    </row>
    <row r="979">
      <c r="J979" s="226"/>
    </row>
    <row r="980">
      <c r="J980" s="226"/>
    </row>
    <row r="981">
      <c r="J981" s="226"/>
    </row>
    <row r="982">
      <c r="J982" s="226"/>
    </row>
    <row r="983">
      <c r="J983" s="226"/>
    </row>
    <row r="984">
      <c r="J984" s="226"/>
    </row>
    <row r="985">
      <c r="J985" s="226"/>
    </row>
    <row r="986">
      <c r="J986" s="226"/>
    </row>
    <row r="987">
      <c r="J987" s="226"/>
    </row>
    <row r="988">
      <c r="J988" s="226"/>
    </row>
    <row r="989">
      <c r="J989" s="226"/>
    </row>
    <row r="990">
      <c r="J990" s="226"/>
    </row>
    <row r="991">
      <c r="J991" s="226"/>
    </row>
    <row r="992">
      <c r="J992" s="226"/>
    </row>
    <row r="993">
      <c r="J993" s="226"/>
    </row>
    <row r="994">
      <c r="J994" s="226"/>
    </row>
    <row r="995">
      <c r="J995" s="226"/>
    </row>
    <row r="996">
      <c r="J996" s="226"/>
    </row>
    <row r="997">
      <c r="J997" s="226"/>
    </row>
    <row r="998">
      <c r="J998" s="226"/>
    </row>
    <row r="999">
      <c r="J999" s="226"/>
    </row>
    <row r="1000">
      <c r="J1000" s="226"/>
    </row>
    <row r="1001">
      <c r="J1001" s="226"/>
    </row>
    <row r="1002">
      <c r="J1002" s="226"/>
    </row>
    <row r="1003">
      <c r="J1003" s="226"/>
    </row>
    <row r="1004">
      <c r="J1004" s="226"/>
    </row>
    <row r="1005">
      <c r="J1005" s="226"/>
    </row>
    <row r="1006">
      <c r="J1006" s="226"/>
    </row>
    <row r="1007">
      <c r="J1007" s="226"/>
    </row>
    <row r="1008">
      <c r="J1008" s="226"/>
    </row>
    <row r="1009">
      <c r="J1009" s="226"/>
    </row>
    <row r="1010">
      <c r="J1010" s="226"/>
    </row>
    <row r="1011">
      <c r="J1011" s="226"/>
    </row>
    <row r="1012">
      <c r="J1012" s="226"/>
    </row>
    <row r="1013">
      <c r="J1013" s="226"/>
    </row>
    <row r="1014">
      <c r="J1014" s="226"/>
    </row>
    <row r="1015">
      <c r="J1015" s="226"/>
    </row>
    <row r="1016">
      <c r="J1016" s="226"/>
    </row>
    <row r="1017">
      <c r="J1017" s="226"/>
    </row>
    <row r="1018">
      <c r="J1018" s="226"/>
    </row>
    <row r="1019">
      <c r="J1019" s="226"/>
    </row>
    <row r="1020">
      <c r="J1020" s="226"/>
    </row>
    <row r="1021">
      <c r="J1021" s="226"/>
    </row>
    <row r="1022">
      <c r="J1022" s="226"/>
    </row>
    <row r="1023">
      <c r="J1023" s="226"/>
    </row>
    <row r="1024">
      <c r="J1024" s="226"/>
    </row>
    <row r="1025">
      <c r="J1025" s="226"/>
    </row>
    <row r="1026">
      <c r="J1026" s="226"/>
    </row>
    <row r="1027">
      <c r="J1027" s="226"/>
    </row>
    <row r="1028">
      <c r="J1028" s="226"/>
    </row>
    <row r="1029">
      <c r="J1029" s="226"/>
    </row>
    <row r="1030">
      <c r="J1030" s="226"/>
    </row>
    <row r="1031">
      <c r="J1031" s="226"/>
    </row>
    <row r="1032">
      <c r="J1032" s="226"/>
    </row>
    <row r="1033">
      <c r="J1033" s="226"/>
    </row>
    <row r="1034">
      <c r="J1034" s="226"/>
    </row>
    <row r="1035">
      <c r="J1035" s="226"/>
    </row>
    <row r="1036">
      <c r="J1036" s="226"/>
    </row>
    <row r="1037">
      <c r="J1037" s="226"/>
    </row>
    <row r="1038">
      <c r="J1038" s="226"/>
    </row>
    <row r="1039">
      <c r="J1039" s="226"/>
    </row>
    <row r="1040">
      <c r="J1040" s="226"/>
    </row>
    <row r="1041">
      <c r="J1041" s="226"/>
    </row>
    <row r="1042">
      <c r="J1042" s="226"/>
    </row>
    <row r="1043">
      <c r="J1043" s="226"/>
    </row>
    <row r="1044">
      <c r="J1044" s="226"/>
    </row>
    <row r="1045">
      <c r="J1045" s="226"/>
    </row>
    <row r="1046">
      <c r="J1046" s="226"/>
    </row>
    <row r="1047">
      <c r="J1047" s="226"/>
    </row>
    <row r="1048">
      <c r="J1048" s="226"/>
    </row>
    <row r="1049">
      <c r="J1049" s="226"/>
    </row>
    <row r="1050">
      <c r="J1050" s="226"/>
    </row>
    <row r="1051">
      <c r="J1051" s="226"/>
    </row>
    <row r="1052">
      <c r="J1052" s="226"/>
    </row>
    <row r="1053">
      <c r="J1053" s="226"/>
    </row>
    <row r="1054">
      <c r="J1054" s="226"/>
    </row>
    <row r="1055">
      <c r="J1055" s="226"/>
    </row>
    <row r="1056">
      <c r="J1056" s="226"/>
    </row>
    <row r="1057">
      <c r="J1057" s="226"/>
    </row>
    <row r="1058">
      <c r="J1058" s="226"/>
    </row>
    <row r="1059">
      <c r="J1059" s="226"/>
    </row>
    <row r="1060">
      <c r="J1060" s="226"/>
    </row>
    <row r="1061">
      <c r="J1061" s="226"/>
    </row>
    <row r="1062">
      <c r="J1062" s="226"/>
    </row>
    <row r="1063">
      <c r="J1063" s="226"/>
    </row>
    <row r="1064">
      <c r="J1064" s="226"/>
    </row>
    <row r="1065">
      <c r="J1065" s="226"/>
    </row>
    <row r="1066">
      <c r="J1066" s="226"/>
    </row>
    <row r="1067">
      <c r="J1067" s="226"/>
    </row>
    <row r="1068">
      <c r="J1068" s="226"/>
    </row>
    <row r="1069">
      <c r="J1069" s="226"/>
    </row>
    <row r="1070">
      <c r="J1070" s="226"/>
    </row>
    <row r="1071">
      <c r="J1071" s="226"/>
    </row>
    <row r="1072">
      <c r="J1072" s="226"/>
    </row>
    <row r="1073">
      <c r="J1073" s="226"/>
    </row>
    <row r="1074">
      <c r="J1074" s="226"/>
    </row>
    <row r="1075">
      <c r="J1075" s="226"/>
    </row>
    <row r="1076">
      <c r="J1076" s="226"/>
    </row>
    <row r="1077">
      <c r="J1077" s="226"/>
    </row>
    <row r="1078">
      <c r="J1078" s="226"/>
    </row>
    <row r="1079">
      <c r="J1079" s="226"/>
    </row>
    <row r="1080">
      <c r="J1080" s="226"/>
    </row>
    <row r="1081">
      <c r="J1081" s="226"/>
    </row>
    <row r="1082">
      <c r="J1082" s="226"/>
    </row>
    <row r="1083">
      <c r="J1083" s="226"/>
    </row>
    <row r="1084">
      <c r="J1084" s="226"/>
    </row>
    <row r="1085">
      <c r="J1085" s="226"/>
    </row>
    <row r="1086">
      <c r="J1086" s="226"/>
    </row>
    <row r="1087">
      <c r="J1087" s="226"/>
    </row>
    <row r="1088">
      <c r="J1088" s="226"/>
    </row>
    <row r="1089">
      <c r="J1089" s="226"/>
    </row>
    <row r="1090">
      <c r="J1090" s="226"/>
    </row>
    <row r="1091">
      <c r="J1091" s="226"/>
    </row>
    <row r="1092">
      <c r="J1092" s="226"/>
    </row>
    <row r="1093">
      <c r="J1093" s="226"/>
    </row>
    <row r="1094">
      <c r="J1094" s="226"/>
    </row>
    <row r="1095">
      <c r="J1095" s="226"/>
    </row>
    <row r="1096">
      <c r="J1096" s="226"/>
    </row>
    <row r="1097">
      <c r="J1097" s="226"/>
    </row>
    <row r="1098">
      <c r="J1098" s="226"/>
    </row>
    <row r="1099">
      <c r="J1099" s="226"/>
    </row>
    <row r="1100">
      <c r="J1100" s="226"/>
    </row>
    <row r="1101">
      <c r="J1101" s="226"/>
    </row>
    <row r="1102">
      <c r="J1102" s="226"/>
    </row>
    <row r="1103">
      <c r="J1103" s="226"/>
    </row>
    <row r="1104">
      <c r="J1104" s="226"/>
    </row>
    <row r="1105">
      <c r="J1105" s="226"/>
    </row>
    <row r="1106">
      <c r="J1106" s="226"/>
    </row>
    <row r="1107">
      <c r="J1107" s="226"/>
    </row>
    <row r="1108">
      <c r="J1108" s="226"/>
    </row>
    <row r="1109">
      <c r="J1109" s="226"/>
    </row>
    <row r="1110">
      <c r="J1110" s="226"/>
    </row>
    <row r="1111">
      <c r="J1111" s="226"/>
    </row>
    <row r="1112">
      <c r="J1112" s="226"/>
    </row>
    <row r="1113">
      <c r="J1113" s="226"/>
    </row>
    <row r="1114">
      <c r="J1114" s="226"/>
    </row>
    <row r="1115">
      <c r="J1115" s="226"/>
    </row>
    <row r="1116">
      <c r="J1116" s="226"/>
    </row>
    <row r="1117">
      <c r="J1117" s="226"/>
    </row>
    <row r="1118">
      <c r="J1118" s="226"/>
    </row>
    <row r="1119">
      <c r="J1119" s="226"/>
    </row>
    <row r="1120">
      <c r="J1120" s="226"/>
    </row>
    <row r="1121">
      <c r="J1121" s="226"/>
    </row>
    <row r="1122">
      <c r="J1122" s="226"/>
    </row>
    <row r="1123">
      <c r="J1123" s="226"/>
    </row>
    <row r="1124">
      <c r="J1124" s="226"/>
    </row>
    <row r="1125">
      <c r="J1125" s="226"/>
    </row>
    <row r="1126">
      <c r="J1126" s="226"/>
    </row>
    <row r="1127">
      <c r="J1127" s="226"/>
    </row>
    <row r="1128">
      <c r="J1128" s="226"/>
    </row>
    <row r="1129">
      <c r="J1129" s="226"/>
    </row>
    <row r="1130">
      <c r="J1130" s="226"/>
    </row>
    <row r="1131">
      <c r="J1131" s="226"/>
    </row>
    <row r="1132">
      <c r="J1132" s="226"/>
    </row>
    <row r="1133">
      <c r="J1133" s="226"/>
    </row>
    <row r="1134">
      <c r="J1134" s="226"/>
    </row>
    <row r="1135">
      <c r="J1135" s="226"/>
    </row>
    <row r="1136">
      <c r="J1136" s="226"/>
    </row>
    <row r="1137">
      <c r="J1137" s="226"/>
    </row>
    <row r="1138">
      <c r="J1138" s="226"/>
    </row>
    <row r="1139">
      <c r="J1139" s="226"/>
    </row>
    <row r="1140">
      <c r="J1140" s="226"/>
    </row>
    <row r="1141">
      <c r="J1141" s="226"/>
    </row>
    <row r="1142">
      <c r="J1142" s="226"/>
    </row>
    <row r="1143">
      <c r="J1143" s="226"/>
    </row>
    <row r="1144">
      <c r="J1144" s="226"/>
    </row>
    <row r="1145">
      <c r="J1145" s="226"/>
    </row>
    <row r="1146">
      <c r="J1146" s="226"/>
    </row>
    <row r="1147">
      <c r="J1147" s="226"/>
    </row>
    <row r="1148">
      <c r="J1148" s="226"/>
    </row>
    <row r="1149">
      <c r="J1149" s="226"/>
    </row>
    <row r="1150">
      <c r="J1150" s="226"/>
    </row>
    <row r="1151">
      <c r="J1151" s="226"/>
    </row>
    <row r="1152">
      <c r="J1152" s="226"/>
    </row>
    <row r="1153">
      <c r="J1153" s="226"/>
    </row>
    <row r="1154">
      <c r="J1154" s="226"/>
    </row>
    <row r="1155">
      <c r="J1155" s="226"/>
    </row>
    <row r="1156">
      <c r="J1156" s="226"/>
    </row>
    <row r="1157">
      <c r="J1157" s="226"/>
    </row>
    <row r="1158">
      <c r="J1158" s="226"/>
    </row>
    <row r="1159">
      <c r="J1159" s="226"/>
    </row>
    <row r="1160">
      <c r="J1160" s="226"/>
    </row>
    <row r="1161">
      <c r="J1161" s="226"/>
    </row>
    <row r="1162">
      <c r="J1162" s="226"/>
    </row>
    <row r="1163">
      <c r="J1163" s="226"/>
    </row>
    <row r="1164">
      <c r="J1164" s="226"/>
    </row>
    <row r="1165">
      <c r="J1165" s="226"/>
    </row>
    <row r="1166">
      <c r="J1166" s="226"/>
    </row>
    <row r="1167">
      <c r="J1167" s="226"/>
    </row>
    <row r="1168">
      <c r="J1168" s="226"/>
    </row>
    <row r="1169">
      <c r="J1169" s="226"/>
    </row>
    <row r="1170">
      <c r="J1170" s="226"/>
    </row>
    <row r="1171">
      <c r="J1171" s="226"/>
    </row>
    <row r="1172">
      <c r="J1172" s="226"/>
    </row>
    <row r="1173">
      <c r="J1173" s="226"/>
    </row>
    <row r="1174">
      <c r="J1174" s="226"/>
    </row>
    <row r="1175">
      <c r="J1175" s="226"/>
    </row>
    <row r="1176">
      <c r="J1176" s="226"/>
    </row>
    <row r="1177">
      <c r="J1177" s="226"/>
    </row>
    <row r="1178">
      <c r="J1178" s="226"/>
    </row>
    <row r="1179">
      <c r="J1179" s="226"/>
    </row>
    <row r="1180">
      <c r="J1180" s="226"/>
    </row>
    <row r="1181">
      <c r="J1181" s="226"/>
    </row>
    <row r="1182">
      <c r="J1182" s="226"/>
    </row>
    <row r="1183">
      <c r="J1183" s="226"/>
    </row>
    <row r="1184">
      <c r="J1184" s="226"/>
    </row>
    <row r="1185">
      <c r="J1185" s="226"/>
    </row>
    <row r="1186">
      <c r="J1186" s="226"/>
    </row>
    <row r="1187">
      <c r="J1187" s="226"/>
    </row>
    <row r="1188">
      <c r="J1188" s="226"/>
    </row>
    <row r="1189">
      <c r="J1189" s="226"/>
    </row>
    <row r="1190">
      <c r="J1190" s="226"/>
    </row>
    <row r="1191">
      <c r="J1191" s="226"/>
    </row>
    <row r="1192">
      <c r="J1192" s="226"/>
    </row>
    <row r="1193">
      <c r="J1193" s="226"/>
    </row>
    <row r="1194">
      <c r="J1194" s="226"/>
    </row>
    <row r="1195">
      <c r="J1195" s="226"/>
    </row>
    <row r="1196">
      <c r="J1196" s="226"/>
    </row>
    <row r="1197">
      <c r="J1197" s="226"/>
    </row>
    <row r="1198">
      <c r="J1198" s="226"/>
    </row>
    <row r="1199">
      <c r="J1199" s="226"/>
    </row>
    <row r="1200">
      <c r="J1200" s="226"/>
    </row>
    <row r="1201">
      <c r="J1201" s="226"/>
    </row>
    <row r="1202">
      <c r="J1202" s="226"/>
    </row>
    <row r="1203">
      <c r="J1203" s="226"/>
    </row>
    <row r="1204">
      <c r="J1204" s="226"/>
    </row>
    <row r="1205">
      <c r="J1205" s="226"/>
    </row>
    <row r="1206">
      <c r="J1206" s="226"/>
    </row>
    <row r="1207">
      <c r="J1207" s="226"/>
    </row>
    <row r="1208">
      <c r="J1208" s="226"/>
    </row>
    <row r="1209">
      <c r="J1209" s="226"/>
    </row>
    <row r="1210">
      <c r="J1210" s="226"/>
    </row>
    <row r="1211">
      <c r="J1211" s="226"/>
    </row>
    <row r="1212">
      <c r="J1212" s="226"/>
    </row>
    <row r="1213">
      <c r="J1213" s="226"/>
    </row>
    <row r="1214">
      <c r="J1214" s="226"/>
    </row>
    <row r="1215">
      <c r="J1215" s="226"/>
    </row>
    <row r="1216">
      <c r="J1216" s="226"/>
    </row>
    <row r="1217">
      <c r="J1217" s="226"/>
    </row>
    <row r="1218">
      <c r="J1218" s="226"/>
    </row>
    <row r="1219">
      <c r="J1219" s="226"/>
    </row>
    <row r="1220">
      <c r="J1220" s="226"/>
    </row>
    <row r="1221">
      <c r="J1221" s="226"/>
    </row>
    <row r="1222">
      <c r="J1222" s="226"/>
    </row>
    <row r="1223">
      <c r="J1223" s="226"/>
    </row>
    <row r="1224">
      <c r="J1224" s="226"/>
    </row>
    <row r="1225">
      <c r="J1225" s="226"/>
    </row>
    <row r="1226">
      <c r="J1226" s="226"/>
    </row>
    <row r="1227">
      <c r="J1227" s="226"/>
    </row>
    <row r="1228">
      <c r="J1228" s="226"/>
    </row>
    <row r="1229">
      <c r="J1229" s="226"/>
    </row>
    <row r="1230">
      <c r="J1230" s="226"/>
    </row>
    <row r="1231">
      <c r="J1231" s="226"/>
    </row>
    <row r="1232">
      <c r="J1232" s="226"/>
    </row>
    <row r="1233">
      <c r="J1233" s="226"/>
    </row>
    <row r="1234">
      <c r="J1234" s="226"/>
    </row>
    <row r="1235">
      <c r="J1235" s="226"/>
    </row>
    <row r="1236">
      <c r="J1236" s="226"/>
    </row>
    <row r="1237">
      <c r="J1237" s="226"/>
    </row>
    <row r="1238">
      <c r="J1238" s="226"/>
    </row>
    <row r="1239">
      <c r="J1239" s="226"/>
    </row>
    <row r="1240">
      <c r="J1240" s="226"/>
    </row>
    <row r="1241">
      <c r="J1241" s="226"/>
    </row>
    <row r="1242">
      <c r="J1242" s="226"/>
    </row>
    <row r="1243">
      <c r="J1243" s="226"/>
    </row>
    <row r="1244">
      <c r="J1244" s="226"/>
    </row>
    <row r="1245">
      <c r="J1245" s="226"/>
    </row>
    <row r="1246">
      <c r="J1246" s="226"/>
    </row>
    <row r="1247">
      <c r="J1247" s="226"/>
    </row>
    <row r="1248">
      <c r="J1248" s="226"/>
    </row>
    <row r="1249">
      <c r="J1249" s="226"/>
    </row>
    <row r="1250">
      <c r="J1250" s="226"/>
    </row>
    <row r="1251">
      <c r="J1251" s="226"/>
    </row>
    <row r="1252">
      <c r="J1252" s="226"/>
    </row>
    <row r="1253">
      <c r="J1253" s="226"/>
    </row>
    <row r="1254">
      <c r="J1254" s="226"/>
    </row>
    <row r="1255">
      <c r="J1255" s="226"/>
    </row>
    <row r="1256">
      <c r="J1256" s="226"/>
    </row>
    <row r="1257">
      <c r="J1257" s="226"/>
    </row>
    <row r="1258">
      <c r="J1258" s="226"/>
    </row>
    <row r="1259">
      <c r="J1259" s="226"/>
    </row>
    <row r="1260">
      <c r="J1260" s="226"/>
    </row>
    <row r="1261">
      <c r="J1261" s="226"/>
    </row>
    <row r="1262">
      <c r="J1262" s="226"/>
    </row>
    <row r="1263">
      <c r="J1263" s="226"/>
    </row>
    <row r="1264">
      <c r="J1264" s="226"/>
    </row>
    <row r="1265">
      <c r="J1265" s="226"/>
    </row>
    <row r="1266">
      <c r="J1266" s="226"/>
    </row>
    <row r="1267">
      <c r="J1267" s="226"/>
    </row>
    <row r="1268">
      <c r="J1268" s="226"/>
    </row>
    <row r="1269">
      <c r="J1269" s="226"/>
    </row>
    <row r="1270">
      <c r="J1270" s="226"/>
    </row>
    <row r="1271">
      <c r="J1271" s="226"/>
    </row>
    <row r="1272">
      <c r="J1272" s="226"/>
    </row>
    <row r="1273">
      <c r="J1273" s="226"/>
    </row>
    <row r="1274">
      <c r="J1274" s="226"/>
    </row>
    <row r="1275">
      <c r="J1275" s="226"/>
    </row>
    <row r="1276">
      <c r="J1276" s="226"/>
    </row>
    <row r="1277">
      <c r="J1277" s="226"/>
    </row>
    <row r="1278">
      <c r="J1278" s="226"/>
    </row>
    <row r="1279">
      <c r="J1279" s="226"/>
    </row>
    <row r="1280">
      <c r="J1280" s="226"/>
    </row>
    <row r="1281">
      <c r="J1281" s="226"/>
    </row>
    <row r="1282">
      <c r="J1282" s="226"/>
    </row>
    <row r="1283">
      <c r="J1283" s="226"/>
    </row>
    <row r="1284">
      <c r="J1284" s="226"/>
    </row>
    <row r="1285">
      <c r="J1285" s="226"/>
    </row>
    <row r="1286">
      <c r="J1286" s="226"/>
    </row>
    <row r="1287">
      <c r="J1287" s="226"/>
    </row>
    <row r="1288">
      <c r="J1288" s="226"/>
    </row>
    <row r="1289">
      <c r="J1289" s="226"/>
    </row>
    <row r="1290">
      <c r="J1290" s="226"/>
    </row>
    <row r="1291">
      <c r="J1291" s="226"/>
    </row>
    <row r="1292">
      <c r="J1292" s="226"/>
    </row>
    <row r="1293">
      <c r="J1293" s="226"/>
    </row>
    <row r="1294">
      <c r="J1294" s="226"/>
    </row>
    <row r="1295">
      <c r="J1295" s="226"/>
    </row>
    <row r="1296">
      <c r="J1296" s="226"/>
    </row>
    <row r="1297">
      <c r="J1297" s="226"/>
    </row>
    <row r="1298">
      <c r="J1298" s="226"/>
    </row>
    <row r="1299">
      <c r="J1299" s="226"/>
    </row>
    <row r="1300">
      <c r="J1300" s="226"/>
    </row>
    <row r="1301">
      <c r="J1301" s="226"/>
    </row>
    <row r="1302">
      <c r="J1302" s="226"/>
    </row>
    <row r="1303">
      <c r="J1303" s="226"/>
    </row>
    <row r="1304">
      <c r="J1304" s="226"/>
    </row>
    <row r="1305">
      <c r="J1305" s="226"/>
    </row>
    <row r="1306">
      <c r="J1306" s="226"/>
    </row>
    <row r="1307">
      <c r="J1307" s="226"/>
    </row>
    <row r="1308">
      <c r="J1308" s="226"/>
    </row>
    <row r="1309">
      <c r="J1309" s="226"/>
    </row>
    <row r="1310">
      <c r="J1310" s="226"/>
    </row>
    <row r="1311">
      <c r="J1311" s="226"/>
    </row>
  </sheetData>
  <mergeCells count="248">
    <mergeCell ref="B232:I232"/>
    <mergeCell ref="B233:I233"/>
    <mergeCell ref="B234:I234"/>
    <mergeCell ref="B235:I235"/>
    <mergeCell ref="B236:I236"/>
    <mergeCell ref="D238:E238"/>
    <mergeCell ref="D242:E242"/>
    <mergeCell ref="B238:B242"/>
    <mergeCell ref="B243:B247"/>
    <mergeCell ref="B248:B250"/>
    <mergeCell ref="D248:E248"/>
    <mergeCell ref="D250:E250"/>
    <mergeCell ref="B251:B253"/>
    <mergeCell ref="B254:I254"/>
    <mergeCell ref="B157:I157"/>
    <mergeCell ref="B160:I160"/>
    <mergeCell ref="E163:I163"/>
    <mergeCell ref="E165:I165"/>
    <mergeCell ref="E166:I166"/>
    <mergeCell ref="B167:I167"/>
    <mergeCell ref="B168:I168"/>
    <mergeCell ref="B169:I169"/>
    <mergeCell ref="B170:I170"/>
    <mergeCell ref="E173:I173"/>
    <mergeCell ref="E175:I175"/>
    <mergeCell ref="E177:I177"/>
    <mergeCell ref="B179:I179"/>
    <mergeCell ref="B180:I180"/>
    <mergeCell ref="B181:I181"/>
    <mergeCell ref="B182:I182"/>
    <mergeCell ref="B183:I183"/>
    <mergeCell ref="B185:B187"/>
    <mergeCell ref="D185:E185"/>
    <mergeCell ref="D186:E186"/>
    <mergeCell ref="B188:I188"/>
    <mergeCell ref="B189:I189"/>
    <mergeCell ref="B190:I190"/>
    <mergeCell ref="E193:I193"/>
    <mergeCell ref="E195:I195"/>
    <mergeCell ref="E198:I198"/>
    <mergeCell ref="E200:I200"/>
    <mergeCell ref="E202:I202"/>
    <mergeCell ref="B203:I203"/>
    <mergeCell ref="B204:I204"/>
    <mergeCell ref="B205:I205"/>
    <mergeCell ref="B206:I206"/>
    <mergeCell ref="B207:I207"/>
    <mergeCell ref="B208:I208"/>
    <mergeCell ref="B209:I209"/>
    <mergeCell ref="B212:I212"/>
    <mergeCell ref="B213:I213"/>
    <mergeCell ref="B214:I214"/>
    <mergeCell ref="B220:I220"/>
    <mergeCell ref="B225:I225"/>
    <mergeCell ref="B227:B230"/>
    <mergeCell ref="B231:I231"/>
    <mergeCell ref="B255:I255"/>
    <mergeCell ref="B256:I256"/>
    <mergeCell ref="B257:I257"/>
    <mergeCell ref="B258:I258"/>
    <mergeCell ref="B259:I259"/>
    <mergeCell ref="B260:I260"/>
    <mergeCell ref="B261:I261"/>
    <mergeCell ref="C55:C56"/>
    <mergeCell ref="B57:I57"/>
    <mergeCell ref="G58:I61"/>
    <mergeCell ref="B59:B61"/>
    <mergeCell ref="B62:I62"/>
    <mergeCell ref="G63:I64"/>
    <mergeCell ref="B65:I65"/>
    <mergeCell ref="B66:I66"/>
    <mergeCell ref="B67:I67"/>
    <mergeCell ref="B68:I68"/>
    <mergeCell ref="B69:I69"/>
    <mergeCell ref="B70:I70"/>
    <mergeCell ref="B71:I71"/>
    <mergeCell ref="B72:I72"/>
    <mergeCell ref="F89:G89"/>
    <mergeCell ref="F90:G90"/>
    <mergeCell ref="C73:E73"/>
    <mergeCell ref="F73:H73"/>
    <mergeCell ref="I73:I80"/>
    <mergeCell ref="B81:I81"/>
    <mergeCell ref="I82:I86"/>
    <mergeCell ref="B87:I87"/>
    <mergeCell ref="F88:G88"/>
    <mergeCell ref="B3:C6"/>
    <mergeCell ref="E8:F8"/>
    <mergeCell ref="G8:H8"/>
    <mergeCell ref="E9:F9"/>
    <mergeCell ref="G9:H9"/>
    <mergeCell ref="G10:I10"/>
    <mergeCell ref="B11:I11"/>
    <mergeCell ref="C12:I12"/>
    <mergeCell ref="C13:D13"/>
    <mergeCell ref="E13:F13"/>
    <mergeCell ref="G13:I13"/>
    <mergeCell ref="B14:I14"/>
    <mergeCell ref="B15:I15"/>
    <mergeCell ref="B17:B19"/>
    <mergeCell ref="G16:I19"/>
    <mergeCell ref="B20:I20"/>
    <mergeCell ref="B21:I21"/>
    <mergeCell ref="B22:I22"/>
    <mergeCell ref="G23:I24"/>
    <mergeCell ref="B25:I25"/>
    <mergeCell ref="H26:I28"/>
    <mergeCell ref="B27:B28"/>
    <mergeCell ref="B29:I29"/>
    <mergeCell ref="B30:I30"/>
    <mergeCell ref="B31:I31"/>
    <mergeCell ref="B32:I32"/>
    <mergeCell ref="B33:I33"/>
    <mergeCell ref="G34:I35"/>
    <mergeCell ref="B36:I36"/>
    <mergeCell ref="B37:I37"/>
    <mergeCell ref="B38:I38"/>
    <mergeCell ref="B40:B42"/>
    <mergeCell ref="B43:I43"/>
    <mergeCell ref="B44:I44"/>
    <mergeCell ref="B45:I45"/>
    <mergeCell ref="B46:I46"/>
    <mergeCell ref="F47:H49"/>
    <mergeCell ref="B50:I50"/>
    <mergeCell ref="B51:I51"/>
    <mergeCell ref="B52:I52"/>
    <mergeCell ref="B53:I53"/>
    <mergeCell ref="B55:B56"/>
    <mergeCell ref="B73:B74"/>
    <mergeCell ref="B89:B92"/>
    <mergeCell ref="F91:G91"/>
    <mergeCell ref="F92:G92"/>
    <mergeCell ref="G93:H93"/>
    <mergeCell ref="D94:E94"/>
    <mergeCell ref="F94:G94"/>
    <mergeCell ref="B104:I104"/>
    <mergeCell ref="B105:I105"/>
    <mergeCell ref="B106:I106"/>
    <mergeCell ref="B107:I107"/>
    <mergeCell ref="H108:I118"/>
    <mergeCell ref="B109:B112"/>
    <mergeCell ref="D110:E110"/>
    <mergeCell ref="B117:B118"/>
    <mergeCell ref="B119:I119"/>
    <mergeCell ref="B127:I127"/>
    <mergeCell ref="G128:I133"/>
    <mergeCell ref="B129:B132"/>
    <mergeCell ref="D131:E131"/>
    <mergeCell ref="B133:B134"/>
    <mergeCell ref="D134:E134"/>
    <mergeCell ref="B135:I135"/>
    <mergeCell ref="B136:I136"/>
    <mergeCell ref="B137:I137"/>
    <mergeCell ref="E139:F139"/>
    <mergeCell ref="E140:I140"/>
    <mergeCell ref="E141:F141"/>
    <mergeCell ref="E142:I142"/>
    <mergeCell ref="C143:D143"/>
    <mergeCell ref="E143:F143"/>
    <mergeCell ref="C144:D144"/>
    <mergeCell ref="E144:I144"/>
    <mergeCell ref="E146:I146"/>
    <mergeCell ref="E148:I148"/>
    <mergeCell ref="D97:E97"/>
    <mergeCell ref="F97:G97"/>
    <mergeCell ref="B94:C94"/>
    <mergeCell ref="B95:B96"/>
    <mergeCell ref="D95:E95"/>
    <mergeCell ref="F95:G95"/>
    <mergeCell ref="D96:E96"/>
    <mergeCell ref="F96:G96"/>
    <mergeCell ref="B97:B98"/>
    <mergeCell ref="D98:E98"/>
    <mergeCell ref="F98:G98"/>
    <mergeCell ref="B99:I99"/>
    <mergeCell ref="B100:I100"/>
    <mergeCell ref="B101:I101"/>
    <mergeCell ref="B102:I102"/>
    <mergeCell ref="B103:I103"/>
    <mergeCell ref="D111:E111"/>
    <mergeCell ref="D112:E112"/>
    <mergeCell ref="B113:B114"/>
    <mergeCell ref="B115:B116"/>
    <mergeCell ref="D132:E132"/>
    <mergeCell ref="D133:E133"/>
    <mergeCell ref="B150:I150"/>
    <mergeCell ref="B151:I151"/>
    <mergeCell ref="B152:I152"/>
    <mergeCell ref="B153:I153"/>
    <mergeCell ref="B154:I154"/>
    <mergeCell ref="B155:I155"/>
    <mergeCell ref="B156:I156"/>
    <mergeCell ref="B578:I578"/>
    <mergeCell ref="B607:I607"/>
    <mergeCell ref="B650:I650"/>
    <mergeCell ref="B450:I450"/>
    <mergeCell ref="B466:I466"/>
    <mergeCell ref="B482:I482"/>
    <mergeCell ref="B498:I498"/>
    <mergeCell ref="B529:I529"/>
    <mergeCell ref="B546:I546"/>
    <mergeCell ref="B563:I563"/>
    <mergeCell ref="B262:I262"/>
    <mergeCell ref="B263:I263"/>
    <mergeCell ref="B264:I264"/>
    <mergeCell ref="B265:I265"/>
    <mergeCell ref="B268:B269"/>
    <mergeCell ref="B270:B271"/>
    <mergeCell ref="B275:I275"/>
    <mergeCell ref="B276:I276"/>
    <mergeCell ref="B277:I277"/>
    <mergeCell ref="B278:I278"/>
    <mergeCell ref="B279:I279"/>
    <mergeCell ref="B280:I280"/>
    <mergeCell ref="B281:I281"/>
    <mergeCell ref="B282:I282"/>
    <mergeCell ref="B290:B291"/>
    <mergeCell ref="B292:B293"/>
    <mergeCell ref="B294:B295"/>
    <mergeCell ref="B296:B297"/>
    <mergeCell ref="B283:I283"/>
    <mergeCell ref="B284:I284"/>
    <mergeCell ref="H285:I287"/>
    <mergeCell ref="B286:B287"/>
    <mergeCell ref="B288:B289"/>
    <mergeCell ref="D288:I289"/>
    <mergeCell ref="D290:I291"/>
    <mergeCell ref="D292:I293"/>
    <mergeCell ref="D294:I295"/>
    <mergeCell ref="D296:I297"/>
    <mergeCell ref="B298:I298"/>
    <mergeCell ref="B301:I301"/>
    <mergeCell ref="C303:D303"/>
    <mergeCell ref="C304:D304"/>
    <mergeCell ref="C305:D305"/>
    <mergeCell ref="B308:I308"/>
    <mergeCell ref="B309:I309"/>
    <mergeCell ref="B310:I310"/>
    <mergeCell ref="B311:I311"/>
    <mergeCell ref="B312:I312"/>
    <mergeCell ref="B313:I313"/>
    <mergeCell ref="B318:I318"/>
    <mergeCell ref="B321:I322"/>
    <mergeCell ref="B325:I325"/>
    <mergeCell ref="B355:I355"/>
    <mergeCell ref="B374:I374"/>
    <mergeCell ref="B404:I404"/>
    <mergeCell ref="B420:I420"/>
  </mergeCells>
  <conditionalFormatting sqref="D16 D39 D47 D58 D63">
    <cfRule type="cellIs" dxfId="0" priority="1" operator="greaterThanOrEqual">
      <formula>70</formula>
    </cfRule>
  </conditionalFormatting>
  <conditionalFormatting sqref="D16 D39 D47 D58 D63">
    <cfRule type="cellIs" dxfId="1" priority="2" operator="between">
      <formula>1</formula>
      <formula>70</formula>
    </cfRule>
  </conditionalFormatting>
  <conditionalFormatting sqref="D16 D39 D47 D58 D63">
    <cfRule type="cellIs" dxfId="2" priority="3" operator="lessThanOrEqual">
      <formula>0.1</formula>
    </cfRule>
  </conditionalFormatting>
  <conditionalFormatting sqref="F17:F18">
    <cfRule type="cellIs" dxfId="3" priority="4" operator="lessThanOrEqual">
      <formula>10</formula>
    </cfRule>
  </conditionalFormatting>
  <conditionalFormatting sqref="F17:F18">
    <cfRule type="cellIs" dxfId="4" priority="5" operator="greaterThan">
      <formula>10</formula>
    </cfRule>
  </conditionalFormatting>
  <conditionalFormatting sqref="D59:E61 D63:E63">
    <cfRule type="cellIs" dxfId="3" priority="6" operator="greaterThanOrEqual">
      <formula>70</formula>
    </cfRule>
  </conditionalFormatting>
  <conditionalFormatting sqref="D59:E61 D63:E63">
    <cfRule type="cellIs" dxfId="4" priority="7" operator="lessThan">
      <formula>70</formula>
    </cfRule>
  </conditionalFormatting>
  <conditionalFormatting sqref="C315">
    <cfRule type="cellIs" dxfId="3" priority="8" operator="greaterThanOrEqual">
      <formula>81</formula>
    </cfRule>
  </conditionalFormatting>
  <conditionalFormatting sqref="C315">
    <cfRule type="cellIs" dxfId="4" priority="9" operator="lessThan">
      <formula>81</formula>
    </cfRule>
  </conditionalFormatting>
  <conditionalFormatting sqref="D19:E19">
    <cfRule type="cellIs" dxfId="3" priority="10" operator="greaterThanOrEqual">
      <formula>85</formula>
    </cfRule>
  </conditionalFormatting>
  <conditionalFormatting sqref="D19:E19">
    <cfRule type="cellIs" dxfId="4" priority="11" operator="lessThan">
      <formula>85</formula>
    </cfRule>
  </conditionalFormatting>
  <conditionalFormatting sqref="F139:F143 E140 E142:E143">
    <cfRule type="cellIs" dxfId="3" priority="12" operator="greaterThanOrEqual">
      <formula>3.6</formula>
    </cfRule>
  </conditionalFormatting>
  <conditionalFormatting sqref="F139:F143 E140 E142:E143">
    <cfRule type="cellIs" dxfId="4" priority="13" operator="lessThan">
      <formula>3.6</formula>
    </cfRule>
  </conditionalFormatting>
  <conditionalFormatting sqref="C149:D149">
    <cfRule type="cellIs" dxfId="3" priority="14" operator="between">
      <formula>1.16</formula>
      <formula>1.18</formula>
    </cfRule>
  </conditionalFormatting>
  <conditionalFormatting sqref="C149:D149">
    <cfRule type="cellIs" dxfId="4" priority="15" operator="greaterThan">
      <formula>1.18</formula>
    </cfRule>
  </conditionalFormatting>
  <conditionalFormatting sqref="E145:F145">
    <cfRule type="cellIs" dxfId="3" priority="16" operator="greaterThanOrEqual">
      <formula>2.99</formula>
    </cfRule>
  </conditionalFormatting>
  <conditionalFormatting sqref="E145:F145">
    <cfRule type="cellIs" dxfId="4" priority="17" operator="lessThan">
      <formula>2.99</formula>
    </cfRule>
  </conditionalFormatting>
  <conditionalFormatting sqref="E147:F147">
    <cfRule type="cellIs" dxfId="3" priority="18" operator="greaterThanOrEqual">
      <formula>2.59</formula>
    </cfRule>
  </conditionalFormatting>
  <conditionalFormatting sqref="E147:F147">
    <cfRule type="cellIs" dxfId="4" priority="19" operator="lessThan">
      <formula>2.59</formula>
    </cfRule>
  </conditionalFormatting>
  <conditionalFormatting sqref="F27:F28">
    <cfRule type="cellIs" dxfId="4" priority="20" operator="greaterThan">
      <formula>10</formula>
    </cfRule>
  </conditionalFormatting>
  <conditionalFormatting sqref="F27:F28">
    <cfRule type="cellIs" dxfId="4" priority="21" operator="lessThan">
      <formula>-10</formula>
    </cfRule>
  </conditionalFormatting>
  <conditionalFormatting sqref="F27:F28">
    <cfRule type="cellIs" dxfId="3" priority="22" operator="between">
      <formula>-10</formula>
      <formula>10</formula>
    </cfRule>
  </conditionalFormatting>
  <conditionalFormatting sqref="D35:E35">
    <cfRule type="cellIs" dxfId="3" priority="23" operator="greaterThanOrEqual">
      <formula>39</formula>
    </cfRule>
  </conditionalFormatting>
  <conditionalFormatting sqref="D35:E35">
    <cfRule type="cellIs" dxfId="4" priority="24" operator="lessThan">
      <formula>39</formula>
    </cfRule>
  </conditionalFormatting>
  <conditionalFormatting sqref="D24:E24">
    <cfRule type="containsBlanks" dxfId="2" priority="25">
      <formula>LEN(TRIM(D24))=0</formula>
    </cfRule>
  </conditionalFormatting>
  <conditionalFormatting sqref="D24:E24">
    <cfRule type="cellIs" dxfId="4" priority="26" operator="greaterThan">
      <formula>0</formula>
    </cfRule>
  </conditionalFormatting>
  <conditionalFormatting sqref="D24:E24">
    <cfRule type="cellIs" dxfId="3" priority="27" operator="equal">
      <formula>0</formula>
    </cfRule>
  </conditionalFormatting>
  <conditionalFormatting sqref="F40:F41">
    <cfRule type="cellIs" dxfId="3" priority="28" operator="between">
      <formula>-18</formula>
      <formula>18</formula>
    </cfRule>
  </conditionalFormatting>
  <conditionalFormatting sqref="F40">
    <cfRule type="cellIs" dxfId="4" priority="29" operator="lessThan">
      <formula>18</formula>
    </cfRule>
  </conditionalFormatting>
  <conditionalFormatting sqref="F40">
    <cfRule type="cellIs" dxfId="4" priority="30" operator="greaterThan">
      <formula>18</formula>
    </cfRule>
  </conditionalFormatting>
  <conditionalFormatting sqref="F42">
    <cfRule type="cellIs" dxfId="3" priority="31" operator="between">
      <formula>-5</formula>
      <formula>5</formula>
    </cfRule>
  </conditionalFormatting>
  <conditionalFormatting sqref="F42">
    <cfRule type="cellIs" dxfId="4" priority="32" operator="lessThan">
      <formula>-5</formula>
    </cfRule>
  </conditionalFormatting>
  <conditionalFormatting sqref="F42">
    <cfRule type="cellIs" dxfId="4" priority="33" operator="greaterThan">
      <formula>5</formula>
    </cfRule>
  </conditionalFormatting>
  <conditionalFormatting sqref="D59:E59">
    <cfRule type="containsBlanks" dxfId="5" priority="34">
      <formula>LEN(TRIM(D59))=0</formula>
    </cfRule>
  </conditionalFormatting>
  <conditionalFormatting sqref="D64:E64">
    <cfRule type="cellIs" dxfId="4" priority="35" operator="greaterThan">
      <formula>17.4</formula>
    </cfRule>
  </conditionalFormatting>
  <conditionalFormatting sqref="D64:E64">
    <cfRule type="cellIs" dxfId="3" priority="36" operator="lessThanOrEqual">
      <formula>17.4</formula>
    </cfRule>
  </conditionalFormatting>
  <conditionalFormatting sqref="D92:E92">
    <cfRule type="cellIs" dxfId="3" priority="37" operator="greaterThanOrEqual">
      <formula>94</formula>
    </cfRule>
  </conditionalFormatting>
  <conditionalFormatting sqref="D92:E92">
    <cfRule type="cellIs" dxfId="4" priority="38" operator="lessThan">
      <formula>94</formula>
    </cfRule>
  </conditionalFormatting>
  <conditionalFormatting sqref="F89:F91">
    <cfRule type="cellIs" dxfId="3" priority="39" operator="between">
      <formula>-4</formula>
      <formula>4</formula>
    </cfRule>
  </conditionalFormatting>
  <conditionalFormatting sqref="F89:F91">
    <cfRule type="cellIs" dxfId="4" priority="40" operator="greaterThan">
      <formula>4</formula>
    </cfRule>
  </conditionalFormatting>
  <conditionalFormatting sqref="F89:F91">
    <cfRule type="cellIs" dxfId="4" priority="41" operator="lessThan">
      <formula>-4</formula>
    </cfRule>
  </conditionalFormatting>
  <conditionalFormatting sqref="G109 G113:G118 F129:F134 H139 H141 H143 H145 H147 H162 H164 H172 H174 H176 H192 H194 H197 H199 H201 F211 F227:F230 F239:F253 F267:F274">
    <cfRule type="cellIs" dxfId="3" priority="42" operator="between">
      <formula>90</formula>
      <formula>110</formula>
    </cfRule>
  </conditionalFormatting>
  <conditionalFormatting sqref="G109 G113:G118 F129:F134 H139 H141 H143 H145 H147 H162 H164 H172 H174 H176 H192 H194 H197 H199 H201 F211 F227:F230 F239:F253 F267:F274">
    <cfRule type="cellIs" dxfId="4" priority="43" operator="greaterThan">
      <formula>110</formula>
    </cfRule>
  </conditionalFormatting>
  <conditionalFormatting sqref="G109 G113:G118 F129:F134 H139 H141 H143 H145 H147 H162 H164 H172 H174 H176 H192 H194 H197 H199 H201 F211 F227:F230 F239:F253 F267:F274">
    <cfRule type="cellIs" dxfId="4" priority="44" operator="lessThan">
      <formula>90</formula>
    </cfRule>
  </conditionalFormatting>
  <conditionalFormatting sqref="D109:E109">
    <cfRule type="cellIs" dxfId="3" priority="45" operator="greaterThan">
      <formula>85</formula>
    </cfRule>
  </conditionalFormatting>
  <conditionalFormatting sqref="D109:E109">
    <cfRule type="cellIs" dxfId="4" priority="46" operator="lessThan">
      <formula>85</formula>
    </cfRule>
  </conditionalFormatting>
  <conditionalFormatting sqref="D110:E110">
    <cfRule type="cellIs" dxfId="3" priority="47" operator="greaterThanOrEqual">
      <formula>130</formula>
    </cfRule>
  </conditionalFormatting>
  <conditionalFormatting sqref="D110:E110">
    <cfRule type="cellIs" dxfId="4" priority="48" operator="lessThan">
      <formula>130</formula>
    </cfRule>
  </conditionalFormatting>
  <conditionalFormatting sqref="D111:E111">
    <cfRule type="cellIs" dxfId="3" priority="49" operator="greaterThanOrEqual">
      <formula>170</formula>
    </cfRule>
  </conditionalFormatting>
  <conditionalFormatting sqref="D111:E111">
    <cfRule type="cellIs" dxfId="4" priority="50" operator="lessThan">
      <formula>170</formula>
    </cfRule>
  </conditionalFormatting>
  <conditionalFormatting sqref="D112:E112">
    <cfRule type="cellIs" dxfId="3" priority="51" operator="between">
      <formula>0.75</formula>
      <formula>0.77</formula>
    </cfRule>
  </conditionalFormatting>
  <conditionalFormatting sqref="D112:E112">
    <cfRule type="cellIs" dxfId="4" priority="52" operator="lessThan">
      <formula>0.75</formula>
    </cfRule>
  </conditionalFormatting>
  <conditionalFormatting sqref="D112:E112">
    <cfRule type="cellIs" dxfId="4" priority="53" operator="greaterThan">
      <formula>0.77</formula>
    </cfRule>
  </conditionalFormatting>
  <conditionalFormatting sqref="D113:E113 D115:E115 D117:E117">
    <cfRule type="cellIs" dxfId="3" priority="54" operator="greaterThanOrEqual">
      <formula>20</formula>
    </cfRule>
  </conditionalFormatting>
  <conditionalFormatting sqref="D113:E113 D115:E115 D117:E117">
    <cfRule type="cellIs" dxfId="4" priority="55" operator="lessThan">
      <formula>20</formula>
    </cfRule>
  </conditionalFormatting>
  <conditionalFormatting sqref="C149:D149">
    <cfRule type="cellIs" dxfId="4" priority="56" operator="lessThan">
      <formula>1.16</formula>
    </cfRule>
  </conditionalFormatting>
  <conditionalFormatting sqref="E216:E219">
    <cfRule type="cellIs" dxfId="3" priority="57" operator="greaterThan">
      <formula>0</formula>
    </cfRule>
  </conditionalFormatting>
  <conditionalFormatting sqref="E216:E219">
    <cfRule type="cellIs" dxfId="4" priority="58" operator="lessThanOrEqual">
      <formula>0</formula>
    </cfRule>
  </conditionalFormatting>
  <conditionalFormatting sqref="F227:F229 F238 F242 F248 F250">
    <cfRule type="colorScale" priority="59">
      <colorScale>
        <cfvo type="min"/>
        <cfvo type="max"/>
        <color rgb="FFFFFFFF"/>
        <color rgb="FF57BB8A"/>
      </colorScale>
    </cfRule>
  </conditionalFormatting>
  <conditionalFormatting sqref="C304:D304">
    <cfRule type="cellIs" dxfId="3" priority="60" operator="lessThanOrEqual">
      <formula>9.5</formula>
    </cfRule>
  </conditionalFormatting>
  <conditionalFormatting sqref="C304:D304">
    <cfRule type="cellIs" dxfId="4" priority="61" operator="greaterThan">
      <formula>9.5</formula>
    </cfRule>
  </conditionalFormatting>
  <conditionalFormatting sqref="C306:D307">
    <cfRule type="cellIs" dxfId="3" priority="62" operator="lessThanOrEqual">
      <formula>3</formula>
    </cfRule>
  </conditionalFormatting>
  <conditionalFormatting sqref="C306:D307">
    <cfRule type="cellIs" dxfId="4" priority="63" operator="greaterThan">
      <formula>3</formula>
    </cfRule>
  </conditionalFormatting>
  <conditionalFormatting sqref="C316">
    <cfRule type="cellIs" dxfId="3" priority="64" operator="greaterThanOrEqual">
      <formula>85</formula>
    </cfRule>
  </conditionalFormatting>
  <conditionalFormatting sqref="C316">
    <cfRule type="cellIs" dxfId="4" priority="65" operator="lessThan">
      <formula>85</formula>
    </cfRule>
  </conditionalFormatting>
  <conditionalFormatting sqref="C317">
    <cfRule type="cellIs" dxfId="3" priority="66" operator="greaterThanOrEqual">
      <formula>76</formula>
    </cfRule>
  </conditionalFormatting>
  <conditionalFormatting sqref="C317">
    <cfRule type="cellIs" dxfId="4" priority="67" operator="lessThan">
      <formula>76</formula>
    </cfRule>
  </conditionalFormatting>
  <conditionalFormatting sqref="F211">
    <cfRule type="notContainsBlanks" dxfId="6" priority="68">
      <formula>LEN(TRIM(F211))&gt;0</formula>
    </cfRule>
  </conditionalFormatting>
  <conditionalFormatting sqref="E48:E49">
    <cfRule type="cellIs" dxfId="3" priority="69" operator="equal">
      <formula>0</formula>
    </cfRule>
  </conditionalFormatting>
  <conditionalFormatting sqref="E48:E49">
    <cfRule type="cellIs" dxfId="4" priority="70" operator="notEqual">
      <formula>0</formula>
    </cfRule>
  </conditionalFormatting>
  <conditionalFormatting sqref="D95:G95">
    <cfRule type="cellIs" dxfId="3" priority="71" operator="greaterThanOrEqual">
      <formula>45</formula>
    </cfRule>
  </conditionalFormatting>
  <conditionalFormatting sqref="D95:G95">
    <cfRule type="cellIs" dxfId="4" priority="72" operator="lessThan">
      <formula>45</formula>
    </cfRule>
  </conditionalFormatting>
  <conditionalFormatting sqref="D96:G96">
    <cfRule type="cellIs" dxfId="3" priority="73" operator="greaterThanOrEqual">
      <formula>9</formula>
    </cfRule>
  </conditionalFormatting>
  <conditionalFormatting sqref="D96:G96">
    <cfRule type="cellIs" dxfId="4" priority="74" operator="lessThan">
      <formula>9</formula>
    </cfRule>
  </conditionalFormatting>
  <dataValidations>
    <dataValidation type="list" allowBlank="1" showErrorMessage="1" sqref="C75:H78 C79:C80 F79:F80 C83:D85 E86:H86 D114:E114 D116:E116 D118:E118 D130:E130 D132 D134 C140:D140 C142:D142 C144 C146:D146 C148:D148 C163:D163 C165:D165 C173:D173 C175:D175 C177:D177 C193:D193 C195:D195 C198:D198 C200:D200 C202:D202">
      <formula1>"0,1,2,3,4,5,6,7,8,9,10"</formula1>
    </dataValidation>
    <dataValidation type="list" allowBlank="1" showErrorMessage="1" sqref="I8">
      <formula1>"Si,No"</formula1>
    </dataValidation>
    <dataValidation type="list" allowBlank="1" showErrorMessage="1" sqref="G13">
      <formula1>"Sí,No"</formula1>
    </dataValidation>
    <dataValidation type="list" allowBlank="1" showErrorMessage="1" sqref="E55:G56 D60:E61 D97:D98 F97:F98 D286:G287 C303">
      <formula1>"OK,X"</formula1>
    </dataValidation>
  </dataValidation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s>
  <sheetData>
    <row r="1" ht="62.25" customHeight="1">
      <c r="A1" s="227" t="s">
        <v>404</v>
      </c>
      <c r="B1" s="228"/>
      <c r="C1" s="228"/>
      <c r="D1" s="228"/>
      <c r="E1" s="228"/>
    </row>
    <row r="2">
      <c r="A2" s="12" t="s">
        <v>16</v>
      </c>
      <c r="B2" s="228" t="s">
        <v>405</v>
      </c>
    </row>
    <row r="3">
      <c r="A3" s="14"/>
    </row>
    <row r="4">
      <c r="A4" s="12" t="s">
        <v>19</v>
      </c>
    </row>
    <row r="5">
      <c r="A5" s="14"/>
    </row>
    <row r="6">
      <c r="A6" s="12" t="s">
        <v>20</v>
      </c>
      <c r="B6" s="10" t="s">
        <v>406</v>
      </c>
    </row>
    <row r="7">
      <c r="A7" s="14"/>
    </row>
    <row r="8">
      <c r="A8" s="12" t="s">
        <v>21</v>
      </c>
      <c r="B8" s="10" t="s">
        <v>407</v>
      </c>
    </row>
    <row r="9">
      <c r="A9" s="14"/>
    </row>
    <row r="10">
      <c r="A10" s="12" t="s">
        <v>22</v>
      </c>
      <c r="B10" s="10" t="s">
        <v>407</v>
      </c>
    </row>
    <row r="11">
      <c r="A11" s="14"/>
    </row>
    <row r="12">
      <c r="A12" s="12" t="s">
        <v>23</v>
      </c>
      <c r="B12" s="10" t="s">
        <v>408</v>
      </c>
    </row>
    <row r="13">
      <c r="A13" s="14"/>
    </row>
    <row r="14">
      <c r="A14" s="12" t="s">
        <v>24</v>
      </c>
      <c r="B14" s="10" t="s">
        <v>409</v>
      </c>
    </row>
    <row r="15">
      <c r="A15" s="14"/>
    </row>
    <row r="16">
      <c r="A16" s="12" t="s">
        <v>27</v>
      </c>
      <c r="B16" s="10" t="s">
        <v>409</v>
      </c>
    </row>
    <row r="17">
      <c r="A17" s="14"/>
    </row>
    <row r="18">
      <c r="A18" s="12" t="s">
        <v>410</v>
      </c>
      <c r="B18" s="10" t="s">
        <v>411</v>
      </c>
      <c r="C18" s="10"/>
      <c r="D18" s="10"/>
      <c r="E18" s="10"/>
    </row>
    <row r="19">
      <c r="A19" s="14"/>
      <c r="B19" s="10" t="s">
        <v>412</v>
      </c>
      <c r="C19" s="10"/>
      <c r="D19" s="10"/>
      <c r="E19" s="10"/>
    </row>
    <row r="20">
      <c r="A20" s="12" t="s">
        <v>30</v>
      </c>
    </row>
    <row r="21">
      <c r="A21" s="20"/>
    </row>
    <row r="22">
      <c r="A22" s="14"/>
    </row>
    <row r="23">
      <c r="A23" s="12" t="s">
        <v>34</v>
      </c>
    </row>
    <row r="24">
      <c r="A24" s="20"/>
    </row>
    <row r="25">
      <c r="A25" s="14"/>
    </row>
    <row r="26">
      <c r="A26" s="12" t="s">
        <v>35</v>
      </c>
    </row>
    <row r="27">
      <c r="A27" s="14"/>
    </row>
    <row r="28">
      <c r="A28" s="21" t="s">
        <v>36</v>
      </c>
    </row>
    <row r="29">
      <c r="A29" s="14"/>
    </row>
    <row r="30">
      <c r="A30" s="21" t="s">
        <v>37</v>
      </c>
    </row>
    <row r="31">
      <c r="A31" s="14"/>
    </row>
    <row r="32">
      <c r="A32" s="23" t="s">
        <v>38</v>
      </c>
      <c r="B32" s="10" t="s">
        <v>413</v>
      </c>
    </row>
    <row r="33">
      <c r="A33" s="14"/>
    </row>
    <row r="34">
      <c r="A34" s="12" t="s">
        <v>39</v>
      </c>
    </row>
    <row r="35">
      <c r="A35" s="20"/>
    </row>
    <row r="36">
      <c r="A36" s="14"/>
    </row>
    <row r="37">
      <c r="A37" s="12" t="s">
        <v>43</v>
      </c>
    </row>
    <row r="38">
      <c r="A38" s="20"/>
    </row>
    <row r="39">
      <c r="A39" s="14"/>
    </row>
    <row r="40">
      <c r="A40" s="12" t="s">
        <v>44</v>
      </c>
    </row>
    <row r="41">
      <c r="A41" s="20"/>
    </row>
    <row r="42">
      <c r="A42" s="14"/>
    </row>
    <row r="43">
      <c r="A43" s="12" t="s">
        <v>45</v>
      </c>
    </row>
    <row r="44">
      <c r="A44" s="20"/>
    </row>
    <row r="45">
      <c r="A45" s="14"/>
    </row>
    <row r="46">
      <c r="A46" s="12" t="s">
        <v>46</v>
      </c>
    </row>
    <row r="47">
      <c r="A47" s="20"/>
    </row>
    <row r="48">
      <c r="A48" s="14"/>
    </row>
    <row r="49">
      <c r="A49" s="12" t="s">
        <v>47</v>
      </c>
    </row>
    <row r="50">
      <c r="A50" s="20"/>
    </row>
    <row r="51">
      <c r="A51" s="14"/>
    </row>
    <row r="52">
      <c r="A52" s="12" t="s">
        <v>48</v>
      </c>
    </row>
    <row r="53">
      <c r="A53" s="20"/>
    </row>
    <row r="54">
      <c r="A54" s="14"/>
    </row>
    <row r="55">
      <c r="A55" s="12" t="s">
        <v>49</v>
      </c>
    </row>
    <row r="56">
      <c r="A56" s="20"/>
    </row>
    <row r="57">
      <c r="A57" s="14"/>
    </row>
    <row r="58">
      <c r="A58" s="19" t="s">
        <v>50</v>
      </c>
    </row>
    <row r="59">
      <c r="A59" s="19" t="s">
        <v>51</v>
      </c>
    </row>
    <row r="60">
      <c r="A60" s="19" t="s">
        <v>52</v>
      </c>
    </row>
    <row r="61">
      <c r="A61" s="19" t="s">
        <v>53</v>
      </c>
    </row>
    <row r="62">
      <c r="A62" s="12" t="s">
        <v>54</v>
      </c>
    </row>
    <row r="63">
      <c r="A63" s="14"/>
    </row>
    <row r="64">
      <c r="A64" s="12" t="s">
        <v>55</v>
      </c>
    </row>
    <row r="65">
      <c r="A65" s="14"/>
    </row>
    <row r="66">
      <c r="A66" s="19" t="s">
        <v>56</v>
      </c>
    </row>
    <row r="67">
      <c r="A67" s="19" t="s">
        <v>58</v>
      </c>
    </row>
    <row r="68">
      <c r="A68" s="19" t="s">
        <v>59</v>
      </c>
    </row>
    <row r="69">
      <c r="A69" s="19" t="s">
        <v>60</v>
      </c>
    </row>
    <row r="70">
      <c r="A70" s="12" t="s">
        <v>61</v>
      </c>
    </row>
    <row r="71">
      <c r="A71" s="14"/>
    </row>
    <row r="72">
      <c r="A72" s="24" t="s">
        <v>62</v>
      </c>
    </row>
    <row r="73">
      <c r="A73" s="23" t="s">
        <v>63</v>
      </c>
    </row>
    <row r="74">
      <c r="A74" s="20"/>
    </row>
    <row r="75">
      <c r="A75" s="14"/>
    </row>
    <row r="76">
      <c r="A76" s="23" t="s">
        <v>67</v>
      </c>
    </row>
    <row r="77">
      <c r="A77" s="20"/>
    </row>
    <row r="78">
      <c r="A78" s="14"/>
    </row>
    <row r="79">
      <c r="A79" s="23" t="s">
        <v>68</v>
      </c>
      <c r="B79" s="229" t="s">
        <v>414</v>
      </c>
    </row>
    <row r="80">
      <c r="A80" s="14"/>
    </row>
    <row r="81">
      <c r="A81" s="23" t="s">
        <v>71</v>
      </c>
    </row>
    <row r="82">
      <c r="A82" s="14"/>
    </row>
    <row r="83">
      <c r="A83" s="23" t="s">
        <v>72</v>
      </c>
      <c r="B83" s="229" t="s">
        <v>415</v>
      </c>
    </row>
    <row r="84">
      <c r="A84" s="14"/>
    </row>
    <row r="85">
      <c r="A85" s="23" t="s">
        <v>75</v>
      </c>
    </row>
    <row r="86">
      <c r="A86" s="14"/>
    </row>
    <row r="87">
      <c r="A87" s="21" t="s">
        <v>76</v>
      </c>
      <c r="B87" s="228" t="s">
        <v>416</v>
      </c>
    </row>
    <row r="88">
      <c r="A88" s="14"/>
    </row>
    <row r="89">
      <c r="A89" s="21" t="s">
        <v>76</v>
      </c>
    </row>
    <row r="90">
      <c r="A90" s="14"/>
    </row>
    <row r="91">
      <c r="A91" s="21" t="s">
        <v>79</v>
      </c>
      <c r="B91" s="228" t="s">
        <v>417</v>
      </c>
    </row>
    <row r="92">
      <c r="A92" s="14"/>
    </row>
    <row r="93">
      <c r="A93" s="23" t="s">
        <v>80</v>
      </c>
    </row>
    <row r="94">
      <c r="A94" s="14"/>
    </row>
    <row r="95">
      <c r="A95" s="21" t="s">
        <v>81</v>
      </c>
      <c r="B95" s="227" t="s">
        <v>418</v>
      </c>
    </row>
    <row r="96">
      <c r="A96" s="14"/>
    </row>
    <row r="97">
      <c r="A97" s="23" t="s">
        <v>82</v>
      </c>
    </row>
    <row r="98">
      <c r="A98" s="14"/>
    </row>
    <row r="99">
      <c r="A99" s="23" t="s">
        <v>83</v>
      </c>
      <c r="B99" s="230" t="s">
        <v>419</v>
      </c>
    </row>
    <row r="100">
      <c r="A100" s="14"/>
    </row>
    <row r="101">
      <c r="A101" s="23" t="s">
        <v>84</v>
      </c>
    </row>
    <row r="102">
      <c r="A102" s="14"/>
    </row>
    <row r="103">
      <c r="A103" s="23" t="s">
        <v>85</v>
      </c>
      <c r="B103" s="10" t="s">
        <v>420</v>
      </c>
    </row>
    <row r="104">
      <c r="A104" s="14"/>
    </row>
    <row r="105">
      <c r="A105" s="23" t="s">
        <v>86</v>
      </c>
    </row>
    <row r="106">
      <c r="A106" s="14"/>
    </row>
    <row r="107">
      <c r="A107" s="23" t="s">
        <v>87</v>
      </c>
      <c r="B107" s="10" t="s">
        <v>421</v>
      </c>
    </row>
    <row r="108">
      <c r="A108" s="14"/>
    </row>
    <row r="109">
      <c r="A109" s="23" t="s">
        <v>90</v>
      </c>
      <c r="B109" s="10" t="s">
        <v>422</v>
      </c>
    </row>
    <row r="110">
      <c r="A110" s="14"/>
    </row>
    <row r="111">
      <c r="A111" s="23" t="s">
        <v>91</v>
      </c>
      <c r="B111" s="10" t="s">
        <v>423</v>
      </c>
    </row>
    <row r="112">
      <c r="A112" s="14"/>
    </row>
    <row r="113">
      <c r="A113" s="23" t="s">
        <v>92</v>
      </c>
    </row>
    <row r="114">
      <c r="A114" s="14"/>
    </row>
    <row r="115">
      <c r="A115" s="23" t="s">
        <v>93</v>
      </c>
      <c r="B115" s="10" t="s">
        <v>423</v>
      </c>
    </row>
    <row r="116">
      <c r="A116" s="14"/>
    </row>
    <row r="117">
      <c r="A117" s="23" t="s">
        <v>94</v>
      </c>
    </row>
    <row r="118">
      <c r="A118" s="14"/>
    </row>
    <row r="119">
      <c r="A119" s="28" t="s">
        <v>95</v>
      </c>
      <c r="B119" s="231" t="s">
        <v>424</v>
      </c>
    </row>
    <row r="120">
      <c r="A120" s="19" t="s">
        <v>96</v>
      </c>
    </row>
    <row r="121">
      <c r="A121" s="12" t="s">
        <v>97</v>
      </c>
      <c r="B121" s="228" t="s">
        <v>425</v>
      </c>
    </row>
    <row r="122">
      <c r="A122" s="14"/>
    </row>
    <row r="123">
      <c r="A123" s="12" t="s">
        <v>98</v>
      </c>
    </row>
    <row r="124">
      <c r="A124" s="14"/>
    </row>
    <row r="125">
      <c r="A125" s="12" t="s">
        <v>99</v>
      </c>
      <c r="B125" s="228" t="s">
        <v>426</v>
      </c>
    </row>
    <row r="126">
      <c r="A126" s="14"/>
    </row>
    <row r="127">
      <c r="A127" s="12" t="s">
        <v>100</v>
      </c>
    </row>
    <row r="128">
      <c r="A128" s="14"/>
    </row>
    <row r="129">
      <c r="A129" s="21" t="s">
        <v>101</v>
      </c>
      <c r="B129" s="232" t="s">
        <v>427</v>
      </c>
    </row>
    <row r="130">
      <c r="A130" s="14"/>
    </row>
    <row r="131">
      <c r="A131" s="12" t="s">
        <v>102</v>
      </c>
    </row>
    <row r="132">
      <c r="A132" s="14"/>
    </row>
    <row r="133">
      <c r="A133" s="21" t="s">
        <v>103</v>
      </c>
    </row>
    <row r="134">
      <c r="A134" s="14"/>
    </row>
    <row r="135">
      <c r="A135" s="12" t="s">
        <v>104</v>
      </c>
    </row>
    <row r="136">
      <c r="A136" s="14"/>
    </row>
    <row r="137">
      <c r="A137" s="12" t="s">
        <v>105</v>
      </c>
    </row>
    <row r="138">
      <c r="A138" s="14"/>
    </row>
    <row r="139">
      <c r="A139" s="12" t="s">
        <v>106</v>
      </c>
    </row>
    <row r="140">
      <c r="A140" s="14"/>
    </row>
    <row r="141">
      <c r="A141" s="23" t="s">
        <v>107</v>
      </c>
    </row>
    <row r="142">
      <c r="A142" s="14"/>
    </row>
    <row r="143">
      <c r="A143" s="12" t="s">
        <v>108</v>
      </c>
    </row>
    <row r="144">
      <c r="A144" s="14"/>
    </row>
    <row r="145">
      <c r="A145" s="23" t="s">
        <v>109</v>
      </c>
    </row>
    <row r="146">
      <c r="A146" s="14"/>
    </row>
    <row r="147">
      <c r="A147" s="12" t="s">
        <v>110</v>
      </c>
    </row>
    <row r="148">
      <c r="A148" s="14"/>
    </row>
    <row r="149">
      <c r="A149" s="23" t="s">
        <v>111</v>
      </c>
    </row>
    <row r="150">
      <c r="A150" s="20"/>
    </row>
    <row r="151">
      <c r="A151" s="14"/>
    </row>
    <row r="152">
      <c r="A152" s="23" t="s">
        <v>115</v>
      </c>
    </row>
    <row r="153">
      <c r="A153" s="14"/>
    </row>
    <row r="154">
      <c r="A154" s="12" t="s">
        <v>116</v>
      </c>
    </row>
    <row r="155">
      <c r="A155" s="14"/>
    </row>
    <row r="156">
      <c r="A156" s="23" t="s">
        <v>117</v>
      </c>
    </row>
    <row r="157">
      <c r="A157" s="14"/>
    </row>
    <row r="158">
      <c r="A158" s="12" t="s">
        <v>118</v>
      </c>
    </row>
    <row r="159">
      <c r="A159" s="14"/>
    </row>
    <row r="160">
      <c r="A160" s="23" t="s">
        <v>119</v>
      </c>
    </row>
    <row r="161">
      <c r="A161" s="14"/>
    </row>
    <row r="162">
      <c r="A162" s="12" t="s">
        <v>120</v>
      </c>
    </row>
    <row r="163">
      <c r="A163" s="14"/>
    </row>
    <row r="164">
      <c r="A164" s="23" t="s">
        <v>121</v>
      </c>
    </row>
    <row r="165">
      <c r="A165" s="14"/>
    </row>
    <row r="166">
      <c r="A166" s="12" t="s">
        <v>122</v>
      </c>
    </row>
    <row r="167">
      <c r="A167" s="14"/>
    </row>
    <row r="168">
      <c r="A168" s="23" t="s">
        <v>123</v>
      </c>
    </row>
    <row r="169">
      <c r="A169" s="14"/>
    </row>
    <row r="170">
      <c r="A170" s="12" t="s">
        <v>124</v>
      </c>
    </row>
    <row r="171">
      <c r="A171" s="14"/>
    </row>
    <row r="172">
      <c r="A172" s="30" t="s">
        <v>125</v>
      </c>
    </row>
    <row r="173">
      <c r="A173" s="31"/>
    </row>
    <row r="174">
      <c r="A174" s="12" t="s">
        <v>126</v>
      </c>
    </row>
    <row r="175">
      <c r="A175" s="14"/>
    </row>
    <row r="176">
      <c r="A176" s="12" t="s">
        <v>130</v>
      </c>
    </row>
    <row r="177">
      <c r="A177" s="14"/>
    </row>
    <row r="178">
      <c r="A178" s="12" t="s">
        <v>132</v>
      </c>
    </row>
    <row r="179">
      <c r="A179" s="14"/>
    </row>
    <row r="180">
      <c r="A180" s="12" t="s">
        <v>133</v>
      </c>
    </row>
    <row r="181">
      <c r="A181" s="14"/>
    </row>
    <row r="182">
      <c r="A182" s="24" t="s">
        <v>428</v>
      </c>
    </row>
    <row r="183">
      <c r="A183" s="21" t="s">
        <v>429</v>
      </c>
    </row>
    <row r="184">
      <c r="A184" s="14"/>
    </row>
    <row r="185">
      <c r="A185" s="21" t="s">
        <v>430</v>
      </c>
    </row>
    <row r="186">
      <c r="A186" s="14"/>
    </row>
    <row r="187">
      <c r="A187" s="21" t="s">
        <v>431</v>
      </c>
    </row>
    <row r="188">
      <c r="A188" s="14"/>
    </row>
    <row r="189">
      <c r="A189" s="21" t="s">
        <v>432</v>
      </c>
      <c r="B189" s="228" t="s">
        <v>433</v>
      </c>
    </row>
    <row r="190">
      <c r="A190" s="14"/>
    </row>
    <row r="191">
      <c r="A191" s="21" t="s">
        <v>434</v>
      </c>
    </row>
    <row r="192">
      <c r="A192" s="14"/>
    </row>
    <row r="193">
      <c r="A193" s="21" t="s">
        <v>159</v>
      </c>
    </row>
    <row r="194">
      <c r="A194" s="14"/>
    </row>
    <row r="195">
      <c r="A195" s="21" t="s">
        <v>160</v>
      </c>
    </row>
    <row r="196">
      <c r="A196" s="14"/>
    </row>
    <row r="197">
      <c r="A197" s="21" t="s">
        <v>161</v>
      </c>
    </row>
    <row r="198">
      <c r="A198" s="14"/>
    </row>
    <row r="199">
      <c r="A199" s="23" t="s">
        <v>162</v>
      </c>
    </row>
    <row r="200">
      <c r="A200" s="14"/>
    </row>
    <row r="201">
      <c r="A201" s="23" t="s">
        <v>163</v>
      </c>
    </row>
    <row r="202">
      <c r="A202" s="14"/>
    </row>
    <row r="203">
      <c r="A203" s="21" t="s">
        <v>164</v>
      </c>
    </row>
    <row r="204">
      <c r="A204" s="14"/>
    </row>
    <row r="205">
      <c r="A205" s="21" t="s">
        <v>165</v>
      </c>
    </row>
    <row r="206">
      <c r="A206" s="14"/>
    </row>
    <row r="207">
      <c r="A207" s="12" t="s">
        <v>166</v>
      </c>
    </row>
    <row r="208">
      <c r="A208" s="14"/>
    </row>
    <row r="209">
      <c r="A209" s="30" t="s">
        <v>167</v>
      </c>
    </row>
    <row r="210">
      <c r="A210" s="35"/>
    </row>
    <row r="211">
      <c r="A211" s="35"/>
    </row>
    <row r="212">
      <c r="A212" s="31"/>
    </row>
    <row r="213">
      <c r="A213" s="30" t="s">
        <v>172</v>
      </c>
    </row>
    <row r="214">
      <c r="A214" s="35"/>
    </row>
    <row r="215">
      <c r="A215" s="35"/>
    </row>
    <row r="216">
      <c r="A216" s="31"/>
    </row>
    <row r="217">
      <c r="A217" s="36" t="s">
        <v>173</v>
      </c>
    </row>
    <row r="218">
      <c r="A218" s="14"/>
    </row>
    <row r="219">
      <c r="A219" s="40" t="s">
        <v>179</v>
      </c>
    </row>
    <row r="220">
      <c r="A220" s="40" t="s">
        <v>180</v>
      </c>
    </row>
    <row r="221">
      <c r="A221" s="40" t="s">
        <v>181</v>
      </c>
    </row>
    <row r="222">
      <c r="A222" s="42" t="s">
        <v>182</v>
      </c>
    </row>
    <row r="223">
      <c r="A223" s="14"/>
    </row>
    <row r="224">
      <c r="A224" s="42" t="s">
        <v>183</v>
      </c>
    </row>
    <row r="225">
      <c r="A225" s="14"/>
    </row>
    <row r="226">
      <c r="A226" s="36" t="s">
        <v>184</v>
      </c>
    </row>
    <row r="227">
      <c r="A227" s="20"/>
    </row>
    <row r="228">
      <c r="A228" s="14"/>
    </row>
  </sheetData>
  <mergeCells count="126">
    <mergeCell ref="A2:A3"/>
    <mergeCell ref="B2:E5"/>
    <mergeCell ref="A4:A5"/>
    <mergeCell ref="A6:A7"/>
    <mergeCell ref="B6:E7"/>
    <mergeCell ref="A8:A9"/>
    <mergeCell ref="B8:E9"/>
    <mergeCell ref="A10:A11"/>
    <mergeCell ref="B10:E11"/>
    <mergeCell ref="A12:A13"/>
    <mergeCell ref="B12:E13"/>
    <mergeCell ref="A14:A15"/>
    <mergeCell ref="B14:E15"/>
    <mergeCell ref="B16:E17"/>
    <mergeCell ref="A16:A17"/>
    <mergeCell ref="A18:A19"/>
    <mergeCell ref="A20:A22"/>
    <mergeCell ref="A23:A25"/>
    <mergeCell ref="A26:A27"/>
    <mergeCell ref="A28:A29"/>
    <mergeCell ref="B28:E29"/>
    <mergeCell ref="A30:A31"/>
    <mergeCell ref="B30:E31"/>
    <mergeCell ref="A32:A33"/>
    <mergeCell ref="B32:E33"/>
    <mergeCell ref="A34:A36"/>
    <mergeCell ref="A37:A39"/>
    <mergeCell ref="A40:A42"/>
    <mergeCell ref="A43:A45"/>
    <mergeCell ref="A46:A48"/>
    <mergeCell ref="A49:A51"/>
    <mergeCell ref="A52:A54"/>
    <mergeCell ref="A55:A57"/>
    <mergeCell ref="A62:A63"/>
    <mergeCell ref="A64:A65"/>
    <mergeCell ref="A70:A71"/>
    <mergeCell ref="A73:A75"/>
    <mergeCell ref="B73:E78"/>
    <mergeCell ref="A76:A78"/>
    <mergeCell ref="A79:A80"/>
    <mergeCell ref="A81:A82"/>
    <mergeCell ref="A83:A84"/>
    <mergeCell ref="B79:E82"/>
    <mergeCell ref="B83:E86"/>
    <mergeCell ref="A85:A86"/>
    <mergeCell ref="A87:A88"/>
    <mergeCell ref="B87:E90"/>
    <mergeCell ref="A89:A90"/>
    <mergeCell ref="B91:E92"/>
    <mergeCell ref="B95:E96"/>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7:A188"/>
    <mergeCell ref="A189:A190"/>
    <mergeCell ref="A191:A192"/>
    <mergeCell ref="A193:A194"/>
    <mergeCell ref="A195:A196"/>
    <mergeCell ref="A197:A198"/>
    <mergeCell ref="A199:A200"/>
    <mergeCell ref="A222:A223"/>
    <mergeCell ref="A224:A225"/>
    <mergeCell ref="A226:A228"/>
    <mergeCell ref="A201:A202"/>
    <mergeCell ref="A203:A204"/>
    <mergeCell ref="A205:A206"/>
    <mergeCell ref="A207:A208"/>
    <mergeCell ref="A209:A212"/>
    <mergeCell ref="A213:A216"/>
    <mergeCell ref="A217:A218"/>
    <mergeCell ref="A91:A92"/>
    <mergeCell ref="A93:A94"/>
    <mergeCell ref="A95:A96"/>
    <mergeCell ref="A97:A98"/>
    <mergeCell ref="A99:A100"/>
    <mergeCell ref="B99:L102"/>
    <mergeCell ref="A101:A102"/>
    <mergeCell ref="A103:A104"/>
    <mergeCell ref="B103:E104"/>
    <mergeCell ref="A105:A106"/>
    <mergeCell ref="A107:A108"/>
    <mergeCell ref="B107:E108"/>
    <mergeCell ref="A109:A110"/>
    <mergeCell ref="B109:E110"/>
    <mergeCell ref="A111:A112"/>
    <mergeCell ref="B111:E112"/>
    <mergeCell ref="A113:A114"/>
    <mergeCell ref="A115:A116"/>
    <mergeCell ref="B115:E116"/>
    <mergeCell ref="A117:A118"/>
    <mergeCell ref="B119:H120"/>
    <mergeCell ref="A121:A122"/>
    <mergeCell ref="B121:F122"/>
    <mergeCell ref="A123:A124"/>
    <mergeCell ref="A125:A126"/>
    <mergeCell ref="B125:H126"/>
    <mergeCell ref="A127:A128"/>
    <mergeCell ref="B129:F130"/>
    <mergeCell ref="A129:A130"/>
    <mergeCell ref="A131:A132"/>
    <mergeCell ref="A133:A134"/>
    <mergeCell ref="B133:F134"/>
    <mergeCell ref="A135:A136"/>
    <mergeCell ref="A137:A138"/>
    <mergeCell ref="B137:F138"/>
    <mergeCell ref="A139:A140"/>
    <mergeCell ref="A141:A142"/>
    <mergeCell ref="A143:A144"/>
    <mergeCell ref="A145:A146"/>
    <mergeCell ref="A147:A148"/>
    <mergeCell ref="A149:A151"/>
    <mergeCell ref="A152:A153"/>
    <mergeCell ref="A183:A184"/>
    <mergeCell ref="A185:A186"/>
    <mergeCell ref="B189:E190"/>
  </mergeCells>
  <drawing r:id="rId4"/>
  <legacyDrawing r:id="rId5"/>
</worksheet>
</file>